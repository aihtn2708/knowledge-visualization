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ders" sheetId="1" state="visible" r:id="rId3"/>
    <sheet name="stores" sheetId="2" state="visible" r:id="rId4"/>
    <sheet name="task1" sheetId="3" state="visible" r:id="rId5"/>
    <sheet name="task2" sheetId="4" state="visible" r:id="rId6"/>
    <sheet name="task3" sheetId="5" state="visible" r:id="rId7"/>
    <sheet name="task4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<sst xmlns="http://schemas.openxmlformats.org/spreadsheetml/2006/main" count="218" uniqueCount="31">
  <si>
    <t xml:space="preserve">order_id</t>
  </si>
  <si>
    <t xml:space="preserve">order_date</t>
  </si>
  <si>
    <t xml:space="preserve">store_id</t>
  </si>
  <si>
    <t xml:space="preserve">product</t>
  </si>
  <si>
    <t xml:space="preserve">qty</t>
  </si>
  <si>
    <t xml:space="preserve">unit_price</t>
  </si>
  <si>
    <t xml:space="preserve">status</t>
  </si>
  <si>
    <t xml:space="preserve">line_total</t>
  </si>
  <si>
    <t xml:space="preserve">Latte</t>
  </si>
  <si>
    <t xml:space="preserve">completed</t>
  </si>
  <si>
    <t xml:space="preserve">Croissant</t>
  </si>
  <si>
    <t xml:space="preserve">Americano</t>
  </si>
  <si>
    <t xml:space="preserve">Cold Brew</t>
  </si>
  <si>
    <t xml:space="preserve">Matcha</t>
  </si>
  <si>
    <t xml:space="preserve">cancelled</t>
  </si>
  <si>
    <t xml:space="preserve">store_name</t>
  </si>
  <si>
    <t xml:space="preserve">city</t>
  </si>
  <si>
    <t xml:space="preserve">Saigon Central</t>
  </si>
  <si>
    <t xml:space="preserve">Ho Chi Minh City</t>
  </si>
  <si>
    <t xml:space="preserve">Hanoi Old Quarter</t>
  </si>
  <si>
    <t xml:space="preserve">Hanoi</t>
  </si>
  <si>
    <t xml:space="preserve">Da Nang Beach</t>
  </si>
  <si>
    <t xml:space="preserve">Da Nang</t>
  </si>
  <si>
    <t xml:space="preserve">revenue</t>
  </si>
  <si>
    <t xml:space="preserve">total_orders</t>
  </si>
  <si>
    <t xml:space="preserve">cancel_rate_pct</t>
  </si>
  <si>
    <t xml:space="preserve">month_start</t>
  </si>
  <si>
    <t xml:space="preserve">month</t>
  </si>
  <si>
    <t xml:space="preserve">mom_growth_pct</t>
  </si>
  <si>
    <t xml:space="preserve">top_product</t>
  </si>
  <si>
    <t xml:space="preserve">top_revenue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</si>
</sst>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6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1001</v>
      </c>
      <c r="B2" s="2" t="n">
        <v>46204</v>
      </c>
      <c r="C2" s="0" t="n">
        <v>1</v>
      </c>
      <c r="D2" s="3" t="s">
        <v>8</v>
      </c>
      <c r="E2" s="0" t="n">
        <v>1</v>
      </c>
      <c r="F2" s="0" t="n">
        <v>55000</v>
      </c>
      <c r="G2" s="3" t="s">
        <v>9</v>
      </c>
      <c r="H2" s="3" t="n">
        <f aca="false">E2*F2</f>
        <v>55000</v>
      </c>
    </row>
    <row r="3" customFormat="false" ht="15" hidden="false" customHeight="false" outlineLevel="0" collapsed="false">
      <c r="A3" s="0" t="n">
        <v>1002</v>
      </c>
      <c r="B3" s="2" t="n">
        <v>46205</v>
      </c>
      <c r="C3" s="0" t="n">
        <v>1</v>
      </c>
      <c r="D3" s="3" t="s">
        <v>8</v>
      </c>
      <c r="E3" s="0" t="n">
        <v>3</v>
      </c>
      <c r="F3" s="0" t="n">
        <v>55000</v>
      </c>
      <c r="G3" s="3" t="s">
        <v>9</v>
      </c>
      <c r="H3" s="3" t="n">
        <f aca="false">E3*F3</f>
        <v>165000</v>
      </c>
    </row>
    <row r="4" customFormat="false" ht="15" hidden="false" customHeight="false" outlineLevel="0" collapsed="false">
      <c r="A4" s="0" t="n">
        <v>1003</v>
      </c>
      <c r="B4" s="2" t="n">
        <v>46205</v>
      </c>
      <c r="C4" s="0" t="n">
        <v>1</v>
      </c>
      <c r="D4" s="3" t="s">
        <v>8</v>
      </c>
      <c r="E4" s="0" t="n">
        <v>1</v>
      </c>
      <c r="F4" s="0" t="n">
        <v>55000</v>
      </c>
      <c r="G4" s="3" t="s">
        <v>9</v>
      </c>
      <c r="H4" s="3" t="n">
        <f aca="false">E4*F4</f>
        <v>55000</v>
      </c>
    </row>
    <row r="5" customFormat="false" ht="15" hidden="false" customHeight="false" outlineLevel="0" collapsed="false">
      <c r="A5" s="0" t="n">
        <v>1004</v>
      </c>
      <c r="B5" s="2" t="n">
        <v>46206</v>
      </c>
      <c r="C5" s="0" t="n">
        <v>2</v>
      </c>
      <c r="D5" s="3" t="s">
        <v>10</v>
      </c>
      <c r="E5" s="0" t="n">
        <v>4</v>
      </c>
      <c r="F5" s="0" t="n">
        <v>40000</v>
      </c>
      <c r="G5" s="3" t="s">
        <v>9</v>
      </c>
      <c r="H5" s="3" t="n">
        <f aca="false">E5*F5</f>
        <v>160000</v>
      </c>
    </row>
    <row r="6" customFormat="false" ht="15" hidden="false" customHeight="false" outlineLevel="0" collapsed="false">
      <c r="A6" s="0" t="n">
        <v>1005</v>
      </c>
      <c r="B6" s="2" t="n">
        <v>46206</v>
      </c>
      <c r="C6" s="0" t="n">
        <v>3</v>
      </c>
      <c r="D6" s="3" t="s">
        <v>11</v>
      </c>
      <c r="E6" s="0" t="n">
        <v>1</v>
      </c>
      <c r="F6" s="0" t="n">
        <v>45000</v>
      </c>
      <c r="G6" s="3" t="s">
        <v>9</v>
      </c>
      <c r="H6" s="3" t="n">
        <f aca="false">E6*F6</f>
        <v>45000</v>
      </c>
    </row>
    <row r="7" customFormat="false" ht="15" hidden="false" customHeight="false" outlineLevel="0" collapsed="false">
      <c r="A7" s="0" t="n">
        <v>1006</v>
      </c>
      <c r="B7" s="2" t="n">
        <v>46206</v>
      </c>
      <c r="C7" s="0" t="n">
        <v>3</v>
      </c>
      <c r="D7" s="3" t="s">
        <v>12</v>
      </c>
      <c r="E7" s="0" t="n">
        <v>2</v>
      </c>
      <c r="F7" s="0" t="n">
        <v>60000</v>
      </c>
      <c r="G7" s="3" t="s">
        <v>9</v>
      </c>
      <c r="H7" s="3" t="n">
        <f aca="false">E7*F7</f>
        <v>120000</v>
      </c>
    </row>
    <row r="8" customFormat="false" ht="15" hidden="false" customHeight="false" outlineLevel="0" collapsed="false">
      <c r="A8" s="0" t="n">
        <v>1007</v>
      </c>
      <c r="B8" s="2" t="n">
        <v>46207</v>
      </c>
      <c r="C8" s="0" t="n">
        <v>1</v>
      </c>
      <c r="D8" s="3" t="s">
        <v>12</v>
      </c>
      <c r="E8" s="0" t="n">
        <v>2</v>
      </c>
      <c r="F8" s="0" t="n">
        <v>60000</v>
      </c>
      <c r="G8" s="3" t="s">
        <v>9</v>
      </c>
      <c r="H8" s="3" t="n">
        <f aca="false">E8*F8</f>
        <v>120000</v>
      </c>
    </row>
    <row r="9" customFormat="false" ht="15" hidden="false" customHeight="false" outlineLevel="0" collapsed="false">
      <c r="A9" s="0" t="n">
        <v>1008</v>
      </c>
      <c r="B9" s="2" t="n">
        <v>46207</v>
      </c>
      <c r="C9" s="0" t="n">
        <v>3</v>
      </c>
      <c r="D9" s="3" t="s">
        <v>13</v>
      </c>
      <c r="E9" s="0" t="n">
        <v>2</v>
      </c>
      <c r="F9" s="0" t="n">
        <v>65000</v>
      </c>
      <c r="G9" s="3" t="s">
        <v>9</v>
      </c>
      <c r="H9" s="3" t="n">
        <f aca="false">E9*F9</f>
        <v>130000</v>
      </c>
    </row>
    <row r="10" customFormat="false" ht="15" hidden="false" customHeight="false" outlineLevel="0" collapsed="false">
      <c r="A10" s="0" t="n">
        <v>1009</v>
      </c>
      <c r="B10" s="2" t="n">
        <v>46208</v>
      </c>
      <c r="C10" s="0" t="n">
        <v>2</v>
      </c>
      <c r="D10" s="3" t="s">
        <v>8</v>
      </c>
      <c r="E10" s="0" t="n">
        <v>2</v>
      </c>
      <c r="F10" s="0" t="n">
        <v>55000</v>
      </c>
      <c r="G10" s="3" t="s">
        <v>9</v>
      </c>
      <c r="H10" s="3" t="n">
        <f aca="false">E10*F10</f>
        <v>110000</v>
      </c>
    </row>
    <row r="11" customFormat="false" ht="15" hidden="false" customHeight="false" outlineLevel="0" collapsed="false">
      <c r="A11" s="0" t="n">
        <v>1010</v>
      </c>
      <c r="B11" s="2" t="n">
        <v>46209</v>
      </c>
      <c r="C11" s="0" t="n">
        <v>1</v>
      </c>
      <c r="D11" s="3" t="s">
        <v>11</v>
      </c>
      <c r="E11" s="0" t="n">
        <v>4</v>
      </c>
      <c r="F11" s="0" t="n">
        <v>45000</v>
      </c>
      <c r="G11" s="3" t="s">
        <v>9</v>
      </c>
      <c r="H11" s="3" t="n">
        <f aca="false">E11*F11</f>
        <v>180000</v>
      </c>
    </row>
    <row r="12" customFormat="false" ht="15" hidden="false" customHeight="false" outlineLevel="0" collapsed="false">
      <c r="A12" s="0" t="n">
        <v>1011</v>
      </c>
      <c r="B12" s="2" t="n">
        <v>46212</v>
      </c>
      <c r="C12" s="0" t="n">
        <v>1</v>
      </c>
      <c r="D12" s="3" t="s">
        <v>8</v>
      </c>
      <c r="E12" s="0" t="n">
        <v>4</v>
      </c>
      <c r="F12" s="0" t="n">
        <v>55000</v>
      </c>
      <c r="G12" s="3" t="s">
        <v>9</v>
      </c>
      <c r="H12" s="3" t="n">
        <f aca="false">E12*F12</f>
        <v>220000</v>
      </c>
    </row>
    <row r="13" customFormat="false" ht="15" hidden="false" customHeight="false" outlineLevel="0" collapsed="false">
      <c r="A13" s="0" t="n">
        <v>1012</v>
      </c>
      <c r="B13" s="2" t="n">
        <v>46212</v>
      </c>
      <c r="C13" s="0" t="n">
        <v>1</v>
      </c>
      <c r="D13" s="3" t="s">
        <v>11</v>
      </c>
      <c r="E13" s="0" t="n">
        <v>2</v>
      </c>
      <c r="F13" s="0" t="n">
        <v>45000</v>
      </c>
      <c r="G13" s="3" t="s">
        <v>9</v>
      </c>
      <c r="H13" s="3" t="n">
        <f aca="false">E13*F13</f>
        <v>90000</v>
      </c>
    </row>
    <row r="14" customFormat="false" ht="15" hidden="false" customHeight="false" outlineLevel="0" collapsed="false">
      <c r="A14" s="0" t="n">
        <v>1013</v>
      </c>
      <c r="B14" s="2" t="n">
        <v>46212</v>
      </c>
      <c r="C14" s="0" t="n">
        <v>3</v>
      </c>
      <c r="D14" s="3" t="s">
        <v>13</v>
      </c>
      <c r="E14" s="0" t="n">
        <v>1</v>
      </c>
      <c r="F14" s="0" t="n">
        <v>65000</v>
      </c>
      <c r="G14" s="3" t="s">
        <v>9</v>
      </c>
      <c r="H14" s="3" t="n">
        <f aca="false">E14*F14</f>
        <v>65000</v>
      </c>
    </row>
    <row r="15" customFormat="false" ht="15" hidden="false" customHeight="false" outlineLevel="0" collapsed="false">
      <c r="A15" s="0" t="n">
        <v>1014</v>
      </c>
      <c r="B15" s="2" t="n">
        <v>46213</v>
      </c>
      <c r="C15" s="0" t="n">
        <v>1</v>
      </c>
      <c r="D15" s="3" t="s">
        <v>10</v>
      </c>
      <c r="E15" s="0" t="n">
        <v>4</v>
      </c>
      <c r="F15" s="0" t="n">
        <v>40000</v>
      </c>
      <c r="G15" s="3" t="s">
        <v>9</v>
      </c>
      <c r="H15" s="3" t="n">
        <f aca="false">E15*F15</f>
        <v>160000</v>
      </c>
    </row>
    <row r="16" customFormat="false" ht="15" hidden="false" customHeight="false" outlineLevel="0" collapsed="false">
      <c r="A16" s="0" t="n">
        <v>1015</v>
      </c>
      <c r="B16" s="2" t="n">
        <v>46213</v>
      </c>
      <c r="C16" s="0" t="n">
        <v>3</v>
      </c>
      <c r="D16" s="3" t="s">
        <v>8</v>
      </c>
      <c r="E16" s="0" t="n">
        <v>3</v>
      </c>
      <c r="F16" s="0" t="n">
        <v>55000</v>
      </c>
      <c r="G16" s="3" t="s">
        <v>9</v>
      </c>
      <c r="H16" s="3" t="n">
        <f aca="false">E16*F16</f>
        <v>165000</v>
      </c>
    </row>
    <row r="17" customFormat="false" ht="15" hidden="false" customHeight="false" outlineLevel="0" collapsed="false">
      <c r="A17" s="0" t="n">
        <v>1016</v>
      </c>
      <c r="B17" s="2" t="n">
        <v>46214</v>
      </c>
      <c r="C17" s="0" t="n">
        <v>1</v>
      </c>
      <c r="D17" s="3" t="s">
        <v>12</v>
      </c>
      <c r="E17" s="0" t="n">
        <v>1</v>
      </c>
      <c r="F17" s="0" t="n">
        <v>60000</v>
      </c>
      <c r="G17" s="3" t="s">
        <v>9</v>
      </c>
      <c r="H17" s="3" t="n">
        <f aca="false">E17*F17</f>
        <v>60000</v>
      </c>
    </row>
    <row r="18" customFormat="false" ht="15" hidden="false" customHeight="false" outlineLevel="0" collapsed="false">
      <c r="A18" s="0" t="n">
        <v>1017</v>
      </c>
      <c r="B18" s="2" t="n">
        <v>46216</v>
      </c>
      <c r="C18" s="0" t="n">
        <v>2</v>
      </c>
      <c r="D18" s="3" t="s">
        <v>10</v>
      </c>
      <c r="E18" s="0" t="n">
        <v>3</v>
      </c>
      <c r="F18" s="0" t="n">
        <v>40000</v>
      </c>
      <c r="G18" s="3" t="s">
        <v>9</v>
      </c>
      <c r="H18" s="3" t="n">
        <f aca="false">E18*F18</f>
        <v>120000</v>
      </c>
    </row>
    <row r="19" customFormat="false" ht="15" hidden="false" customHeight="false" outlineLevel="0" collapsed="false">
      <c r="A19" s="0" t="n">
        <v>1018</v>
      </c>
      <c r="B19" s="2" t="n">
        <v>46216</v>
      </c>
      <c r="C19" s="0" t="n">
        <v>2</v>
      </c>
      <c r="D19" s="3" t="s">
        <v>11</v>
      </c>
      <c r="E19" s="0" t="n">
        <v>1</v>
      </c>
      <c r="F19" s="0" t="n">
        <v>45000</v>
      </c>
      <c r="G19" s="3" t="s">
        <v>9</v>
      </c>
      <c r="H19" s="3" t="n">
        <f aca="false">E19*F19</f>
        <v>45000</v>
      </c>
    </row>
    <row r="20" customFormat="false" ht="15" hidden="false" customHeight="false" outlineLevel="0" collapsed="false">
      <c r="A20" s="0" t="n">
        <v>1019</v>
      </c>
      <c r="B20" s="2" t="n">
        <v>46216</v>
      </c>
      <c r="C20" s="0" t="n">
        <v>3</v>
      </c>
      <c r="D20" s="3" t="s">
        <v>12</v>
      </c>
      <c r="E20" s="0" t="n">
        <v>2</v>
      </c>
      <c r="F20" s="0" t="n">
        <v>60000</v>
      </c>
      <c r="G20" s="3" t="s">
        <v>9</v>
      </c>
      <c r="H20" s="3" t="n">
        <f aca="false">E20*F20</f>
        <v>120000</v>
      </c>
    </row>
    <row r="21" customFormat="false" ht="15" hidden="false" customHeight="false" outlineLevel="0" collapsed="false">
      <c r="A21" s="0" t="n">
        <v>1020</v>
      </c>
      <c r="B21" s="2" t="n">
        <v>46217</v>
      </c>
      <c r="C21" s="0" t="n">
        <v>2</v>
      </c>
      <c r="D21" s="3" t="s">
        <v>13</v>
      </c>
      <c r="E21" s="0" t="n">
        <v>3</v>
      </c>
      <c r="F21" s="0" t="n">
        <v>65000</v>
      </c>
      <c r="G21" s="3" t="s">
        <v>9</v>
      </c>
      <c r="H21" s="3" t="n">
        <f aca="false">E21*F21</f>
        <v>195000</v>
      </c>
    </row>
    <row r="22" customFormat="false" ht="15" hidden="false" customHeight="false" outlineLevel="0" collapsed="false">
      <c r="A22" s="0" t="n">
        <v>1021</v>
      </c>
      <c r="B22" s="2" t="n">
        <v>46218</v>
      </c>
      <c r="C22" s="0" t="n">
        <v>1</v>
      </c>
      <c r="D22" s="3" t="s">
        <v>12</v>
      </c>
      <c r="E22" s="0" t="n">
        <v>3</v>
      </c>
      <c r="F22" s="0" t="n">
        <v>60000</v>
      </c>
      <c r="G22" s="3" t="s">
        <v>9</v>
      </c>
      <c r="H22" s="3" t="n">
        <f aca="false">E22*F22</f>
        <v>180000</v>
      </c>
    </row>
    <row r="23" customFormat="false" ht="15" hidden="false" customHeight="false" outlineLevel="0" collapsed="false">
      <c r="A23" s="0" t="n">
        <v>1022</v>
      </c>
      <c r="B23" s="2" t="n">
        <v>46218</v>
      </c>
      <c r="C23" s="0" t="n">
        <v>2</v>
      </c>
      <c r="D23" s="3" t="s">
        <v>10</v>
      </c>
      <c r="E23" s="0" t="n">
        <v>1</v>
      </c>
      <c r="F23" s="0" t="n">
        <v>40000</v>
      </c>
      <c r="G23" s="3" t="s">
        <v>14</v>
      </c>
      <c r="H23" s="3" t="n">
        <f aca="false">E23*F23</f>
        <v>40000</v>
      </c>
    </row>
    <row r="24" customFormat="false" ht="15" hidden="false" customHeight="false" outlineLevel="0" collapsed="false">
      <c r="A24" s="0" t="n">
        <v>1023</v>
      </c>
      <c r="B24" s="2" t="n">
        <v>46219</v>
      </c>
      <c r="C24" s="0" t="n">
        <v>3</v>
      </c>
      <c r="D24" s="3" t="s">
        <v>12</v>
      </c>
      <c r="E24" s="0" t="n">
        <v>3</v>
      </c>
      <c r="F24" s="0" t="n">
        <v>60000</v>
      </c>
      <c r="G24" s="3" t="s">
        <v>9</v>
      </c>
      <c r="H24" s="3" t="n">
        <f aca="false">E24*F24</f>
        <v>180000</v>
      </c>
    </row>
    <row r="25" customFormat="false" ht="15" hidden="false" customHeight="false" outlineLevel="0" collapsed="false">
      <c r="A25" s="0" t="n">
        <v>1024</v>
      </c>
      <c r="B25" s="2" t="n">
        <v>46223</v>
      </c>
      <c r="C25" s="0" t="n">
        <v>1</v>
      </c>
      <c r="D25" s="3" t="s">
        <v>12</v>
      </c>
      <c r="E25" s="0" t="n">
        <v>2</v>
      </c>
      <c r="F25" s="0" t="n">
        <v>60000</v>
      </c>
      <c r="G25" s="3" t="s">
        <v>9</v>
      </c>
      <c r="H25" s="3" t="n">
        <f aca="false">E25*F25</f>
        <v>120000</v>
      </c>
    </row>
    <row r="26" customFormat="false" ht="15" hidden="false" customHeight="false" outlineLevel="0" collapsed="false">
      <c r="A26" s="0" t="n">
        <v>1025</v>
      </c>
      <c r="B26" s="2" t="n">
        <v>46226</v>
      </c>
      <c r="C26" s="0" t="n">
        <v>1</v>
      </c>
      <c r="D26" s="3" t="s">
        <v>12</v>
      </c>
      <c r="E26" s="0" t="n">
        <v>3</v>
      </c>
      <c r="F26" s="0" t="n">
        <v>60000</v>
      </c>
      <c r="G26" s="3" t="s">
        <v>9</v>
      </c>
      <c r="H26" s="3" t="n">
        <f aca="false">E26*F26</f>
        <v>180000</v>
      </c>
    </row>
    <row r="27" customFormat="false" ht="15" hidden="false" customHeight="false" outlineLevel="0" collapsed="false">
      <c r="A27" s="0" t="n">
        <v>1026</v>
      </c>
      <c r="B27" s="2" t="n">
        <v>46227</v>
      </c>
      <c r="C27" s="0" t="n">
        <v>1</v>
      </c>
      <c r="D27" s="3" t="s">
        <v>10</v>
      </c>
      <c r="E27" s="0" t="n">
        <v>2</v>
      </c>
      <c r="F27" s="0" t="n">
        <v>40000</v>
      </c>
      <c r="G27" s="3" t="s">
        <v>9</v>
      </c>
      <c r="H27" s="3" t="n">
        <f aca="false">E27*F27</f>
        <v>80000</v>
      </c>
    </row>
    <row r="28" customFormat="false" ht="15" hidden="false" customHeight="false" outlineLevel="0" collapsed="false">
      <c r="A28" s="0" t="n">
        <v>1027</v>
      </c>
      <c r="B28" s="2" t="n">
        <v>46227</v>
      </c>
      <c r="C28" s="0" t="n">
        <v>1</v>
      </c>
      <c r="D28" s="3" t="s">
        <v>12</v>
      </c>
      <c r="E28" s="0" t="n">
        <v>2</v>
      </c>
      <c r="F28" s="0" t="n">
        <v>60000</v>
      </c>
      <c r="G28" s="3" t="s">
        <v>9</v>
      </c>
      <c r="H28" s="3" t="n">
        <f aca="false">E28*F28</f>
        <v>120000</v>
      </c>
    </row>
    <row r="29" customFormat="false" ht="15" hidden="false" customHeight="false" outlineLevel="0" collapsed="false">
      <c r="A29" s="0" t="n">
        <v>1028</v>
      </c>
      <c r="B29" s="2" t="n">
        <v>46233</v>
      </c>
      <c r="C29" s="0" t="n">
        <v>3</v>
      </c>
      <c r="D29" s="3" t="s">
        <v>12</v>
      </c>
      <c r="E29" s="0" t="n">
        <v>1</v>
      </c>
      <c r="F29" s="0" t="n">
        <v>60000</v>
      </c>
      <c r="G29" s="3" t="s">
        <v>9</v>
      </c>
      <c r="H29" s="3" t="n">
        <f aca="false">E29*F29</f>
        <v>60000</v>
      </c>
    </row>
    <row r="30" customFormat="false" ht="15" hidden="false" customHeight="false" outlineLevel="0" collapsed="false">
      <c r="A30" s="0" t="n">
        <v>1029</v>
      </c>
      <c r="B30" s="2" t="n">
        <v>46235</v>
      </c>
      <c r="C30" s="0" t="n">
        <v>2</v>
      </c>
      <c r="D30" s="3" t="s">
        <v>8</v>
      </c>
      <c r="E30" s="0" t="n">
        <v>1</v>
      </c>
      <c r="F30" s="0" t="n">
        <v>55000</v>
      </c>
      <c r="G30" s="3" t="s">
        <v>9</v>
      </c>
      <c r="H30" s="3" t="n">
        <f aca="false">E30*F30</f>
        <v>55000</v>
      </c>
    </row>
    <row r="31" customFormat="false" ht="15" hidden="false" customHeight="false" outlineLevel="0" collapsed="false">
      <c r="A31" s="0" t="n">
        <v>1030</v>
      </c>
      <c r="B31" s="2" t="n">
        <v>46236</v>
      </c>
      <c r="C31" s="0" t="n">
        <v>1</v>
      </c>
      <c r="D31" s="3" t="s">
        <v>8</v>
      </c>
      <c r="E31" s="0" t="n">
        <v>2</v>
      </c>
      <c r="F31" s="0" t="n">
        <v>55000</v>
      </c>
      <c r="G31" s="3" t="s">
        <v>14</v>
      </c>
      <c r="H31" s="3" t="n">
        <f aca="false">E31*F31</f>
        <v>110000</v>
      </c>
    </row>
    <row r="32" customFormat="false" ht="15" hidden="false" customHeight="false" outlineLevel="0" collapsed="false">
      <c r="A32" s="0" t="n">
        <v>1031</v>
      </c>
      <c r="B32" s="2" t="n">
        <v>46237</v>
      </c>
      <c r="C32" s="0" t="n">
        <v>2</v>
      </c>
      <c r="D32" s="3" t="s">
        <v>10</v>
      </c>
      <c r="E32" s="0" t="n">
        <v>1</v>
      </c>
      <c r="F32" s="0" t="n">
        <v>40000</v>
      </c>
      <c r="G32" s="3" t="s">
        <v>9</v>
      </c>
      <c r="H32" s="3" t="n">
        <f aca="false">E32*F32</f>
        <v>40000</v>
      </c>
    </row>
    <row r="33" customFormat="false" ht="15" hidden="false" customHeight="false" outlineLevel="0" collapsed="false">
      <c r="A33" s="0" t="n">
        <v>1032</v>
      </c>
      <c r="B33" s="2" t="n">
        <v>46240</v>
      </c>
      <c r="C33" s="0" t="n">
        <v>3</v>
      </c>
      <c r="D33" s="3" t="s">
        <v>11</v>
      </c>
      <c r="E33" s="0" t="n">
        <v>2</v>
      </c>
      <c r="F33" s="0" t="n">
        <v>45000</v>
      </c>
      <c r="G33" s="3" t="s">
        <v>9</v>
      </c>
      <c r="H33" s="3" t="n">
        <f aca="false">E33*F33</f>
        <v>90000</v>
      </c>
    </row>
    <row r="34" customFormat="false" ht="15" hidden="false" customHeight="false" outlineLevel="0" collapsed="false">
      <c r="A34" s="0" t="n">
        <v>1033</v>
      </c>
      <c r="B34" s="2" t="n">
        <v>46241</v>
      </c>
      <c r="C34" s="0" t="n">
        <v>1</v>
      </c>
      <c r="D34" s="3" t="s">
        <v>8</v>
      </c>
      <c r="E34" s="0" t="n">
        <v>2</v>
      </c>
      <c r="F34" s="0" t="n">
        <v>55000</v>
      </c>
      <c r="G34" s="3" t="s">
        <v>9</v>
      </c>
      <c r="H34" s="3" t="n">
        <f aca="false">E34*F34</f>
        <v>110000</v>
      </c>
    </row>
    <row r="35" customFormat="false" ht="15" hidden="false" customHeight="false" outlineLevel="0" collapsed="false">
      <c r="A35" s="0" t="n">
        <v>1034</v>
      </c>
      <c r="B35" s="2" t="n">
        <v>46243</v>
      </c>
      <c r="C35" s="0" t="n">
        <v>1</v>
      </c>
      <c r="D35" s="3" t="s">
        <v>10</v>
      </c>
      <c r="E35" s="0" t="n">
        <v>2</v>
      </c>
      <c r="F35" s="0" t="n">
        <v>40000</v>
      </c>
      <c r="G35" s="3" t="s">
        <v>9</v>
      </c>
      <c r="H35" s="3" t="n">
        <f aca="false">E35*F35</f>
        <v>80000</v>
      </c>
    </row>
    <row r="36" customFormat="false" ht="15" hidden="false" customHeight="false" outlineLevel="0" collapsed="false">
      <c r="A36" s="0" t="n">
        <v>1035</v>
      </c>
      <c r="B36" s="2" t="n">
        <v>46244</v>
      </c>
      <c r="C36" s="0" t="n">
        <v>2</v>
      </c>
      <c r="D36" s="3" t="s">
        <v>13</v>
      </c>
      <c r="E36" s="0" t="n">
        <v>3</v>
      </c>
      <c r="F36" s="0" t="n">
        <v>65000</v>
      </c>
      <c r="G36" s="3" t="s">
        <v>14</v>
      </c>
      <c r="H36" s="3" t="n">
        <f aca="false">E36*F36</f>
        <v>195000</v>
      </c>
    </row>
    <row r="37" customFormat="false" ht="15" hidden="false" customHeight="false" outlineLevel="0" collapsed="false">
      <c r="A37" s="0" t="n">
        <v>1036</v>
      </c>
      <c r="B37" s="2" t="n">
        <v>46247</v>
      </c>
      <c r="C37" s="0" t="n">
        <v>3</v>
      </c>
      <c r="D37" s="3" t="s">
        <v>8</v>
      </c>
      <c r="E37" s="0" t="n">
        <v>1</v>
      </c>
      <c r="F37" s="0" t="n">
        <v>55000</v>
      </c>
      <c r="G37" s="3" t="s">
        <v>9</v>
      </c>
      <c r="H37" s="3" t="n">
        <f aca="false">E37*F37</f>
        <v>55000</v>
      </c>
    </row>
    <row r="38" customFormat="false" ht="15" hidden="false" customHeight="false" outlineLevel="0" collapsed="false">
      <c r="A38" s="0" t="n">
        <v>1037</v>
      </c>
      <c r="B38" s="2" t="n">
        <v>46248</v>
      </c>
      <c r="C38" s="0" t="n">
        <v>2</v>
      </c>
      <c r="D38" s="3" t="s">
        <v>11</v>
      </c>
      <c r="E38" s="0" t="n">
        <v>2</v>
      </c>
      <c r="F38" s="0" t="n">
        <v>45000</v>
      </c>
      <c r="G38" s="3" t="s">
        <v>9</v>
      </c>
      <c r="H38" s="3" t="n">
        <f aca="false">E38*F38</f>
        <v>90000</v>
      </c>
    </row>
    <row r="39" customFormat="false" ht="15" hidden="false" customHeight="false" outlineLevel="0" collapsed="false">
      <c r="A39" s="0" t="n">
        <v>1038</v>
      </c>
      <c r="B39" s="2" t="n">
        <v>46248</v>
      </c>
      <c r="C39" s="0" t="n">
        <v>3</v>
      </c>
      <c r="D39" s="3" t="s">
        <v>13</v>
      </c>
      <c r="E39" s="0" t="n">
        <v>4</v>
      </c>
      <c r="F39" s="0" t="n">
        <v>65000</v>
      </c>
      <c r="G39" s="3" t="s">
        <v>9</v>
      </c>
      <c r="H39" s="3" t="n">
        <f aca="false">E39*F39</f>
        <v>260000</v>
      </c>
    </row>
    <row r="40" customFormat="false" ht="15" hidden="false" customHeight="false" outlineLevel="0" collapsed="false">
      <c r="A40" s="0" t="n">
        <v>1039</v>
      </c>
      <c r="B40" s="2" t="n">
        <v>46253</v>
      </c>
      <c r="C40" s="0" t="n">
        <v>3</v>
      </c>
      <c r="D40" s="3" t="s">
        <v>12</v>
      </c>
      <c r="E40" s="0" t="n">
        <v>2</v>
      </c>
      <c r="F40" s="0" t="n">
        <v>60000</v>
      </c>
      <c r="G40" s="3" t="s">
        <v>14</v>
      </c>
      <c r="H40" s="3" t="n">
        <f aca="false">E40*F40</f>
        <v>120000</v>
      </c>
    </row>
    <row r="41" customFormat="false" ht="15" hidden="false" customHeight="false" outlineLevel="0" collapsed="false">
      <c r="A41" s="0" t="n">
        <v>1040</v>
      </c>
      <c r="B41" s="2" t="n">
        <v>46254</v>
      </c>
      <c r="C41" s="0" t="n">
        <v>3</v>
      </c>
      <c r="D41" s="3" t="s">
        <v>13</v>
      </c>
      <c r="E41" s="0" t="n">
        <v>3</v>
      </c>
      <c r="F41" s="0" t="n">
        <v>65000</v>
      </c>
      <c r="G41" s="3" t="s">
        <v>9</v>
      </c>
      <c r="H41" s="3" t="n">
        <f aca="false">E41*F41</f>
        <v>195000</v>
      </c>
    </row>
    <row r="42" customFormat="false" ht="15" hidden="false" customHeight="false" outlineLevel="0" collapsed="false">
      <c r="A42" s="0" t="n">
        <v>1041</v>
      </c>
      <c r="B42" s="2" t="n">
        <v>46255</v>
      </c>
      <c r="C42" s="0" t="n">
        <v>3</v>
      </c>
      <c r="D42" s="3" t="s">
        <v>12</v>
      </c>
      <c r="E42" s="0" t="n">
        <v>4</v>
      </c>
      <c r="F42" s="0" t="n">
        <v>60000</v>
      </c>
      <c r="G42" s="3" t="s">
        <v>9</v>
      </c>
      <c r="H42" s="3" t="n">
        <f aca="false">E42*F42</f>
        <v>240000</v>
      </c>
    </row>
    <row r="43" customFormat="false" ht="15" hidden="false" customHeight="false" outlineLevel="0" collapsed="false">
      <c r="A43" s="0" t="n">
        <v>1042</v>
      </c>
      <c r="B43" s="2" t="n">
        <v>46256</v>
      </c>
      <c r="C43" s="0" t="n">
        <v>2</v>
      </c>
      <c r="D43" s="3" t="s">
        <v>12</v>
      </c>
      <c r="E43" s="0" t="n">
        <v>1</v>
      </c>
      <c r="F43" s="0" t="n">
        <v>60000</v>
      </c>
      <c r="G43" s="3" t="s">
        <v>14</v>
      </c>
      <c r="H43" s="3" t="n">
        <f aca="false">E43*F43</f>
        <v>60000</v>
      </c>
    </row>
    <row r="44" customFormat="false" ht="15" hidden="false" customHeight="false" outlineLevel="0" collapsed="false">
      <c r="A44" s="0" t="n">
        <v>1043</v>
      </c>
      <c r="B44" s="2" t="n">
        <v>46257</v>
      </c>
      <c r="C44" s="0" t="n">
        <v>2</v>
      </c>
      <c r="D44" s="3" t="s">
        <v>10</v>
      </c>
      <c r="E44" s="0" t="n">
        <v>1</v>
      </c>
      <c r="F44" s="0" t="n">
        <v>40000</v>
      </c>
      <c r="G44" s="3" t="s">
        <v>9</v>
      </c>
      <c r="H44" s="3" t="n">
        <f aca="false">E44*F44</f>
        <v>40000</v>
      </c>
    </row>
    <row r="45" customFormat="false" ht="15" hidden="false" customHeight="false" outlineLevel="0" collapsed="false">
      <c r="A45" s="0" t="n">
        <v>1044</v>
      </c>
      <c r="B45" s="2" t="n">
        <v>46257</v>
      </c>
      <c r="C45" s="0" t="n">
        <v>3</v>
      </c>
      <c r="D45" s="3" t="s">
        <v>12</v>
      </c>
      <c r="E45" s="0" t="n">
        <v>2</v>
      </c>
      <c r="F45" s="0" t="n">
        <v>60000</v>
      </c>
      <c r="G45" s="3" t="s">
        <v>9</v>
      </c>
      <c r="H45" s="3" t="n">
        <f aca="false">E45*F45</f>
        <v>120000</v>
      </c>
    </row>
    <row r="46" customFormat="false" ht="15" hidden="false" customHeight="false" outlineLevel="0" collapsed="false">
      <c r="A46" s="0" t="n">
        <v>1045</v>
      </c>
      <c r="B46" s="2" t="n">
        <v>46258</v>
      </c>
      <c r="C46" s="0" t="n">
        <v>1</v>
      </c>
      <c r="D46" s="3" t="s">
        <v>11</v>
      </c>
      <c r="E46" s="0" t="n">
        <v>3</v>
      </c>
      <c r="F46" s="0" t="n">
        <v>45000</v>
      </c>
      <c r="G46" s="3" t="s">
        <v>9</v>
      </c>
      <c r="H46" s="3" t="n">
        <f aca="false">E46*F46</f>
        <v>135000</v>
      </c>
    </row>
    <row r="47" customFormat="false" ht="15" hidden="false" customHeight="false" outlineLevel="0" collapsed="false">
      <c r="A47" s="0" t="n">
        <v>1046</v>
      </c>
      <c r="B47" s="2" t="n">
        <v>46258</v>
      </c>
      <c r="C47" s="0" t="n">
        <v>1</v>
      </c>
      <c r="D47" s="3" t="s">
        <v>10</v>
      </c>
      <c r="E47" s="0" t="n">
        <v>2</v>
      </c>
      <c r="F47" s="0" t="n">
        <v>40000</v>
      </c>
      <c r="G47" s="3" t="s">
        <v>9</v>
      </c>
      <c r="H47" s="3" t="n">
        <f aca="false">E47*F47</f>
        <v>80000</v>
      </c>
    </row>
    <row r="48" customFormat="false" ht="15" hidden="false" customHeight="false" outlineLevel="0" collapsed="false">
      <c r="A48" s="0" t="n">
        <v>1047</v>
      </c>
      <c r="B48" s="2" t="n">
        <v>46258</v>
      </c>
      <c r="C48" s="0" t="n">
        <v>2</v>
      </c>
      <c r="D48" s="3" t="s">
        <v>11</v>
      </c>
      <c r="E48" s="0" t="n">
        <v>2</v>
      </c>
      <c r="F48" s="0" t="n">
        <v>45000</v>
      </c>
      <c r="G48" s="3" t="s">
        <v>9</v>
      </c>
      <c r="H48" s="3" t="n">
        <f aca="false">E48*F48</f>
        <v>90000</v>
      </c>
    </row>
    <row r="49" customFormat="false" ht="15" hidden="false" customHeight="false" outlineLevel="0" collapsed="false">
      <c r="A49" s="0" t="n">
        <v>1048</v>
      </c>
      <c r="B49" s="2" t="n">
        <v>46259</v>
      </c>
      <c r="C49" s="0" t="n">
        <v>2</v>
      </c>
      <c r="D49" s="3" t="s">
        <v>8</v>
      </c>
      <c r="E49" s="0" t="n">
        <v>1</v>
      </c>
      <c r="F49" s="0" t="n">
        <v>55000</v>
      </c>
      <c r="G49" s="3" t="s">
        <v>9</v>
      </c>
      <c r="H49" s="3" t="n">
        <f aca="false">E49*F49</f>
        <v>55000</v>
      </c>
    </row>
    <row r="50" customFormat="false" ht="15" hidden="false" customHeight="false" outlineLevel="0" collapsed="false">
      <c r="A50" s="0" t="n">
        <v>1049</v>
      </c>
      <c r="B50" s="2" t="n">
        <v>46260</v>
      </c>
      <c r="C50" s="0" t="n">
        <v>1</v>
      </c>
      <c r="D50" s="3" t="s">
        <v>12</v>
      </c>
      <c r="E50" s="0" t="n">
        <v>3</v>
      </c>
      <c r="F50" s="0" t="n">
        <v>60000</v>
      </c>
      <c r="G50" s="3" t="s">
        <v>9</v>
      </c>
      <c r="H50" s="3" t="n">
        <f aca="false">E50*F50</f>
        <v>180000</v>
      </c>
    </row>
    <row r="51" customFormat="false" ht="15" hidden="false" customHeight="false" outlineLevel="0" collapsed="false">
      <c r="A51" s="0" t="n">
        <v>1050</v>
      </c>
      <c r="B51" s="2" t="n">
        <v>46261</v>
      </c>
      <c r="C51" s="0" t="n">
        <v>1</v>
      </c>
      <c r="D51" s="3" t="s">
        <v>12</v>
      </c>
      <c r="E51" s="0" t="n">
        <v>1</v>
      </c>
      <c r="F51" s="0" t="n">
        <v>60000</v>
      </c>
      <c r="G51" s="3" t="s">
        <v>9</v>
      </c>
      <c r="H51" s="3" t="n">
        <f aca="false">E51*F51</f>
        <v>60000</v>
      </c>
    </row>
    <row r="52" customFormat="false" ht="15" hidden="false" customHeight="false" outlineLevel="0" collapsed="false">
      <c r="A52" s="0" t="n">
        <v>1051</v>
      </c>
      <c r="B52" s="2" t="n">
        <v>46261</v>
      </c>
      <c r="C52" s="0" t="n">
        <v>3</v>
      </c>
      <c r="D52" s="3" t="s">
        <v>13</v>
      </c>
      <c r="E52" s="0" t="n">
        <v>2</v>
      </c>
      <c r="F52" s="0" t="n">
        <v>65000</v>
      </c>
      <c r="G52" s="3" t="s">
        <v>9</v>
      </c>
      <c r="H52" s="3" t="n">
        <f aca="false">E52*F52</f>
        <v>130000</v>
      </c>
    </row>
    <row r="53" customFormat="false" ht="15" hidden="false" customHeight="false" outlineLevel="0" collapsed="false">
      <c r="A53" s="0" t="n">
        <v>1052</v>
      </c>
      <c r="B53" s="2" t="n">
        <v>46262</v>
      </c>
      <c r="C53" s="0" t="n">
        <v>2</v>
      </c>
      <c r="D53" s="3" t="s">
        <v>13</v>
      </c>
      <c r="E53" s="0" t="n">
        <v>4</v>
      </c>
      <c r="F53" s="0" t="n">
        <v>65000</v>
      </c>
      <c r="G53" s="3" t="s">
        <v>9</v>
      </c>
      <c r="H53" s="3" t="n">
        <f aca="false">E53*F53</f>
        <v>260000</v>
      </c>
    </row>
    <row r="54" customFormat="false" ht="15" hidden="false" customHeight="false" outlineLevel="0" collapsed="false">
      <c r="A54" s="0" t="n">
        <v>1053</v>
      </c>
      <c r="B54" s="2" t="n">
        <v>46262</v>
      </c>
      <c r="C54" s="0" t="n">
        <v>2</v>
      </c>
      <c r="D54" s="3" t="s">
        <v>10</v>
      </c>
      <c r="E54" s="0" t="n">
        <v>3</v>
      </c>
      <c r="F54" s="0" t="n">
        <v>40000</v>
      </c>
      <c r="G54" s="3" t="s">
        <v>9</v>
      </c>
      <c r="H54" s="3" t="n">
        <f aca="false">E54*F54</f>
        <v>120000</v>
      </c>
    </row>
    <row r="55" customFormat="false" ht="15" hidden="false" customHeight="false" outlineLevel="0" collapsed="false">
      <c r="A55" s="0" t="n">
        <v>1054</v>
      </c>
      <c r="B55" s="2" t="n">
        <v>46262</v>
      </c>
      <c r="C55" s="0" t="n">
        <v>2</v>
      </c>
      <c r="D55" s="3" t="s">
        <v>12</v>
      </c>
      <c r="E55" s="0" t="n">
        <v>2</v>
      </c>
      <c r="F55" s="0" t="n">
        <v>60000</v>
      </c>
      <c r="G55" s="3" t="s">
        <v>9</v>
      </c>
      <c r="H55" s="3" t="n">
        <f aca="false">E55*F55</f>
        <v>120000</v>
      </c>
    </row>
    <row r="56" customFormat="false" ht="15" hidden="false" customHeight="false" outlineLevel="0" collapsed="false">
      <c r="A56" s="0" t="n">
        <v>1055</v>
      </c>
      <c r="B56" s="2" t="n">
        <v>46264</v>
      </c>
      <c r="C56" s="0" t="n">
        <v>2</v>
      </c>
      <c r="D56" s="3" t="s">
        <v>13</v>
      </c>
      <c r="E56" s="0" t="n">
        <v>4</v>
      </c>
      <c r="F56" s="0" t="n">
        <v>65000</v>
      </c>
      <c r="G56" s="3" t="s">
        <v>9</v>
      </c>
      <c r="H56" s="3" t="n">
        <f aca="false">E56*F56</f>
        <v>260000</v>
      </c>
    </row>
    <row r="57" customFormat="false" ht="15" hidden="false" customHeight="false" outlineLevel="0" collapsed="false">
      <c r="A57" s="0" t="n">
        <v>1056</v>
      </c>
      <c r="B57" s="2" t="n">
        <v>46265</v>
      </c>
      <c r="C57" s="0" t="n">
        <v>1</v>
      </c>
      <c r="D57" s="3" t="s">
        <v>12</v>
      </c>
      <c r="E57" s="0" t="n">
        <v>1</v>
      </c>
      <c r="F57" s="0" t="n">
        <v>60000</v>
      </c>
      <c r="G57" s="3" t="s">
        <v>9</v>
      </c>
      <c r="H57" s="3" t="n">
        <f aca="false">E57*F57</f>
        <v>60000</v>
      </c>
    </row>
    <row r="58" customFormat="false" ht="15" hidden="false" customHeight="false" outlineLevel="0" collapsed="false">
      <c r="A58" s="0" t="n">
        <v>1057</v>
      </c>
      <c r="B58" s="2" t="n">
        <v>46265</v>
      </c>
      <c r="C58" s="0" t="n">
        <v>1</v>
      </c>
      <c r="D58" s="3" t="s">
        <v>11</v>
      </c>
      <c r="E58" s="0" t="n">
        <v>2</v>
      </c>
      <c r="F58" s="0" t="n">
        <v>45000</v>
      </c>
      <c r="G58" s="3" t="s">
        <v>9</v>
      </c>
      <c r="H58" s="3" t="n">
        <f aca="false">E58*F58</f>
        <v>90000</v>
      </c>
    </row>
    <row r="59" customFormat="false" ht="15" hidden="false" customHeight="false" outlineLevel="0" collapsed="false">
      <c r="A59" s="0" t="n">
        <v>1058</v>
      </c>
      <c r="B59" s="2" t="n">
        <v>46265</v>
      </c>
      <c r="C59" s="0" t="n">
        <v>2</v>
      </c>
      <c r="D59" s="3" t="s">
        <v>10</v>
      </c>
      <c r="E59" s="0" t="n">
        <v>1</v>
      </c>
      <c r="F59" s="0" t="n">
        <v>40000</v>
      </c>
      <c r="G59" s="3" t="s">
        <v>9</v>
      </c>
      <c r="H59" s="3" t="n">
        <f aca="false">E59*F59</f>
        <v>40000</v>
      </c>
    </row>
    <row r="60" customFormat="false" ht="15" hidden="false" customHeight="false" outlineLevel="0" collapsed="false">
      <c r="A60" s="0" t="n">
        <v>1059</v>
      </c>
      <c r="B60" s="2" t="n">
        <v>46266</v>
      </c>
      <c r="C60" s="0" t="n">
        <v>1</v>
      </c>
      <c r="D60" s="3" t="s">
        <v>13</v>
      </c>
      <c r="E60" s="0" t="n">
        <v>3</v>
      </c>
      <c r="F60" s="0" t="n">
        <v>65000</v>
      </c>
      <c r="G60" s="3" t="s">
        <v>9</v>
      </c>
      <c r="H60" s="3" t="n">
        <f aca="false">E60*F60</f>
        <v>195000</v>
      </c>
    </row>
    <row r="61" customFormat="false" ht="15" hidden="false" customHeight="false" outlineLevel="0" collapsed="false">
      <c r="A61" s="0" t="n">
        <v>1060</v>
      </c>
      <c r="B61" s="2" t="n">
        <v>46266</v>
      </c>
      <c r="C61" s="0" t="n">
        <v>2</v>
      </c>
      <c r="D61" s="3" t="s">
        <v>12</v>
      </c>
      <c r="E61" s="0" t="n">
        <v>2</v>
      </c>
      <c r="F61" s="0" t="n">
        <v>60000</v>
      </c>
      <c r="G61" s="3" t="s">
        <v>9</v>
      </c>
      <c r="H61" s="3" t="n">
        <f aca="false">E61*F61</f>
        <v>120000</v>
      </c>
    </row>
    <row r="62" customFormat="false" ht="15" hidden="false" customHeight="false" outlineLevel="0" collapsed="false">
      <c r="A62" s="0" t="n">
        <v>1061</v>
      </c>
      <c r="B62" s="2" t="n">
        <v>46270</v>
      </c>
      <c r="C62" s="0" t="n">
        <v>2</v>
      </c>
      <c r="D62" s="3" t="s">
        <v>11</v>
      </c>
      <c r="E62" s="0" t="n">
        <v>1</v>
      </c>
      <c r="F62" s="0" t="n">
        <v>45000</v>
      </c>
      <c r="G62" s="3" t="s">
        <v>9</v>
      </c>
      <c r="H62" s="3" t="n">
        <f aca="false">E62*F62</f>
        <v>45000</v>
      </c>
    </row>
    <row r="63" customFormat="false" ht="15" hidden="false" customHeight="false" outlineLevel="0" collapsed="false">
      <c r="A63" s="0" t="n">
        <v>1062</v>
      </c>
      <c r="B63" s="2" t="n">
        <v>46270</v>
      </c>
      <c r="C63" s="0" t="n">
        <v>2</v>
      </c>
      <c r="D63" s="3" t="s">
        <v>11</v>
      </c>
      <c r="E63" s="0" t="n">
        <v>1</v>
      </c>
      <c r="F63" s="0" t="n">
        <v>45000</v>
      </c>
      <c r="G63" s="3" t="s">
        <v>9</v>
      </c>
      <c r="H63" s="3" t="n">
        <f aca="false">E63*F63</f>
        <v>45000</v>
      </c>
    </row>
    <row r="64" customFormat="false" ht="15" hidden="false" customHeight="false" outlineLevel="0" collapsed="false">
      <c r="A64" s="0" t="n">
        <v>1063</v>
      </c>
      <c r="B64" s="2" t="n">
        <v>46270</v>
      </c>
      <c r="C64" s="0" t="n">
        <v>2</v>
      </c>
      <c r="D64" s="3" t="s">
        <v>8</v>
      </c>
      <c r="E64" s="0" t="n">
        <v>1</v>
      </c>
      <c r="F64" s="0" t="n">
        <v>55000</v>
      </c>
      <c r="G64" s="3" t="s">
        <v>9</v>
      </c>
      <c r="H64" s="3" t="n">
        <f aca="false">E64*F64</f>
        <v>55000</v>
      </c>
    </row>
    <row r="65" customFormat="false" ht="15" hidden="false" customHeight="false" outlineLevel="0" collapsed="false">
      <c r="A65" s="0" t="n">
        <v>1064</v>
      </c>
      <c r="B65" s="2" t="n">
        <v>46270</v>
      </c>
      <c r="C65" s="0" t="n">
        <v>2</v>
      </c>
      <c r="D65" s="3" t="s">
        <v>13</v>
      </c>
      <c r="E65" s="0" t="n">
        <v>1</v>
      </c>
      <c r="F65" s="0" t="n">
        <v>65000</v>
      </c>
      <c r="G65" s="3" t="s">
        <v>14</v>
      </c>
      <c r="H65" s="3" t="n">
        <f aca="false">E65*F65</f>
        <v>65000</v>
      </c>
    </row>
    <row r="66" customFormat="false" ht="15" hidden="false" customHeight="false" outlineLevel="0" collapsed="false">
      <c r="A66" s="0" t="n">
        <v>1065</v>
      </c>
      <c r="B66" s="2" t="n">
        <v>46270</v>
      </c>
      <c r="C66" s="0" t="n">
        <v>3</v>
      </c>
      <c r="D66" s="3" t="s">
        <v>10</v>
      </c>
      <c r="E66" s="0" t="n">
        <v>4</v>
      </c>
      <c r="F66" s="0" t="n">
        <v>40000</v>
      </c>
      <c r="G66" s="3" t="s">
        <v>9</v>
      </c>
      <c r="H66" s="3" t="n">
        <f aca="false">E66*F66</f>
        <v>160000</v>
      </c>
    </row>
    <row r="67" customFormat="false" ht="15" hidden="false" customHeight="false" outlineLevel="0" collapsed="false">
      <c r="A67" s="0" t="n">
        <v>1066</v>
      </c>
      <c r="B67" s="2" t="n">
        <v>46275</v>
      </c>
      <c r="C67" s="0" t="n">
        <v>1</v>
      </c>
      <c r="D67" s="3" t="s">
        <v>10</v>
      </c>
      <c r="E67" s="0" t="n">
        <v>2</v>
      </c>
      <c r="F67" s="0" t="n">
        <v>40000</v>
      </c>
      <c r="G67" s="3" t="s">
        <v>9</v>
      </c>
      <c r="H67" s="3" t="n">
        <f aca="false">E67*F67</f>
        <v>80000</v>
      </c>
    </row>
    <row r="68" customFormat="false" ht="15" hidden="false" customHeight="false" outlineLevel="0" collapsed="false">
      <c r="A68" s="0" t="n">
        <v>1067</v>
      </c>
      <c r="B68" s="2" t="n">
        <v>46275</v>
      </c>
      <c r="C68" s="0" t="n">
        <v>2</v>
      </c>
      <c r="D68" s="3" t="s">
        <v>8</v>
      </c>
      <c r="E68" s="0" t="n">
        <v>2</v>
      </c>
      <c r="F68" s="0" t="n">
        <v>55000</v>
      </c>
      <c r="G68" s="3" t="s">
        <v>14</v>
      </c>
      <c r="H68" s="3" t="n">
        <f aca="false">E68*F68</f>
        <v>110000</v>
      </c>
    </row>
    <row r="69" customFormat="false" ht="15" hidden="false" customHeight="false" outlineLevel="0" collapsed="false">
      <c r="A69" s="0" t="n">
        <v>1068</v>
      </c>
      <c r="B69" s="2" t="n">
        <v>46276</v>
      </c>
      <c r="C69" s="0" t="n">
        <v>2</v>
      </c>
      <c r="D69" s="3" t="s">
        <v>10</v>
      </c>
      <c r="E69" s="0" t="n">
        <v>3</v>
      </c>
      <c r="F69" s="0" t="n">
        <v>40000</v>
      </c>
      <c r="G69" s="3" t="s">
        <v>9</v>
      </c>
      <c r="H69" s="3" t="n">
        <f aca="false">E69*F69</f>
        <v>120000</v>
      </c>
    </row>
    <row r="70" customFormat="false" ht="15" hidden="false" customHeight="false" outlineLevel="0" collapsed="false">
      <c r="A70" s="0" t="n">
        <v>1069</v>
      </c>
      <c r="B70" s="2" t="n">
        <v>46277</v>
      </c>
      <c r="C70" s="0" t="n">
        <v>1</v>
      </c>
      <c r="D70" s="3" t="s">
        <v>13</v>
      </c>
      <c r="E70" s="0" t="n">
        <v>2</v>
      </c>
      <c r="F70" s="0" t="n">
        <v>65000</v>
      </c>
      <c r="G70" s="3" t="s">
        <v>9</v>
      </c>
      <c r="H70" s="3" t="n">
        <f aca="false">E70*F70</f>
        <v>130000</v>
      </c>
    </row>
    <row r="71" customFormat="false" ht="15" hidden="false" customHeight="false" outlineLevel="0" collapsed="false">
      <c r="A71" s="0" t="n">
        <v>1070</v>
      </c>
      <c r="B71" s="2" t="n">
        <v>46277</v>
      </c>
      <c r="C71" s="0" t="n">
        <v>2</v>
      </c>
      <c r="D71" s="3" t="s">
        <v>10</v>
      </c>
      <c r="E71" s="0" t="n">
        <v>3</v>
      </c>
      <c r="F71" s="0" t="n">
        <v>40000</v>
      </c>
      <c r="G71" s="3" t="s">
        <v>9</v>
      </c>
      <c r="H71" s="3" t="n">
        <f aca="false">E71*F71</f>
        <v>120000</v>
      </c>
    </row>
    <row r="72" customFormat="false" ht="15" hidden="false" customHeight="false" outlineLevel="0" collapsed="false">
      <c r="A72" s="0" t="n">
        <v>1071</v>
      </c>
      <c r="B72" s="2" t="n">
        <v>46277</v>
      </c>
      <c r="C72" s="0" t="n">
        <v>2</v>
      </c>
      <c r="D72" s="3" t="s">
        <v>10</v>
      </c>
      <c r="E72" s="0" t="n">
        <v>1</v>
      </c>
      <c r="F72" s="0" t="n">
        <v>40000</v>
      </c>
      <c r="G72" s="3" t="s">
        <v>9</v>
      </c>
      <c r="H72" s="3" t="n">
        <f aca="false">E72*F72</f>
        <v>40000</v>
      </c>
    </row>
    <row r="73" customFormat="false" ht="15" hidden="false" customHeight="false" outlineLevel="0" collapsed="false">
      <c r="A73" s="0" t="n">
        <v>1072</v>
      </c>
      <c r="B73" s="2" t="n">
        <v>46277</v>
      </c>
      <c r="C73" s="0" t="n">
        <v>2</v>
      </c>
      <c r="D73" s="3" t="s">
        <v>8</v>
      </c>
      <c r="E73" s="0" t="n">
        <v>3</v>
      </c>
      <c r="F73" s="0" t="n">
        <v>55000</v>
      </c>
      <c r="G73" s="3" t="s">
        <v>14</v>
      </c>
      <c r="H73" s="3" t="n">
        <f aca="false">E73*F73</f>
        <v>165000</v>
      </c>
    </row>
    <row r="74" customFormat="false" ht="15" hidden="false" customHeight="false" outlineLevel="0" collapsed="false">
      <c r="A74" s="0" t="n">
        <v>1073</v>
      </c>
      <c r="B74" s="2" t="n">
        <v>46277</v>
      </c>
      <c r="C74" s="0" t="n">
        <v>2</v>
      </c>
      <c r="D74" s="3" t="s">
        <v>8</v>
      </c>
      <c r="E74" s="0" t="n">
        <v>4</v>
      </c>
      <c r="F74" s="0" t="n">
        <v>55000</v>
      </c>
      <c r="G74" s="3" t="s">
        <v>9</v>
      </c>
      <c r="H74" s="3" t="n">
        <f aca="false">E74*F74</f>
        <v>220000</v>
      </c>
    </row>
    <row r="75" customFormat="false" ht="15" hidden="false" customHeight="false" outlineLevel="0" collapsed="false">
      <c r="A75" s="0" t="n">
        <v>1074</v>
      </c>
      <c r="B75" s="2" t="n">
        <v>46279</v>
      </c>
      <c r="C75" s="0" t="n">
        <v>2</v>
      </c>
      <c r="D75" s="3" t="s">
        <v>8</v>
      </c>
      <c r="E75" s="0" t="n">
        <v>2</v>
      </c>
      <c r="F75" s="0" t="n">
        <v>55000</v>
      </c>
      <c r="G75" s="3" t="s">
        <v>9</v>
      </c>
      <c r="H75" s="3" t="n">
        <f aca="false">E75*F75</f>
        <v>110000</v>
      </c>
    </row>
    <row r="76" customFormat="false" ht="15" hidden="false" customHeight="false" outlineLevel="0" collapsed="false">
      <c r="A76" s="0" t="n">
        <v>1075</v>
      </c>
      <c r="B76" s="2" t="n">
        <v>46279</v>
      </c>
      <c r="C76" s="0" t="n">
        <v>3</v>
      </c>
      <c r="D76" s="3" t="s">
        <v>12</v>
      </c>
      <c r="E76" s="0" t="n">
        <v>2</v>
      </c>
      <c r="F76" s="0" t="n">
        <v>60000</v>
      </c>
      <c r="G76" s="3" t="s">
        <v>9</v>
      </c>
      <c r="H76" s="3" t="n">
        <f aca="false">E76*F76</f>
        <v>120000</v>
      </c>
    </row>
    <row r="77" customFormat="false" ht="15" hidden="false" customHeight="false" outlineLevel="0" collapsed="false">
      <c r="A77" s="0" t="n">
        <v>1076</v>
      </c>
      <c r="B77" s="2" t="n">
        <v>46280</v>
      </c>
      <c r="C77" s="0" t="n">
        <v>2</v>
      </c>
      <c r="D77" s="3" t="s">
        <v>11</v>
      </c>
      <c r="E77" s="0" t="n">
        <v>4</v>
      </c>
      <c r="F77" s="0" t="n">
        <v>45000</v>
      </c>
      <c r="G77" s="3" t="s">
        <v>9</v>
      </c>
      <c r="H77" s="3" t="n">
        <f aca="false">E77*F77</f>
        <v>180000</v>
      </c>
    </row>
    <row r="78" customFormat="false" ht="15" hidden="false" customHeight="false" outlineLevel="0" collapsed="false">
      <c r="A78" s="0" t="n">
        <v>1077</v>
      </c>
      <c r="B78" s="2" t="n">
        <v>46283</v>
      </c>
      <c r="C78" s="0" t="n">
        <v>1</v>
      </c>
      <c r="D78" s="3" t="s">
        <v>10</v>
      </c>
      <c r="E78" s="0" t="n">
        <v>2</v>
      </c>
      <c r="F78" s="0" t="n">
        <v>40000</v>
      </c>
      <c r="G78" s="3" t="s">
        <v>9</v>
      </c>
      <c r="H78" s="3" t="n">
        <f aca="false">E78*F78</f>
        <v>80000</v>
      </c>
    </row>
    <row r="79" customFormat="false" ht="15" hidden="false" customHeight="false" outlineLevel="0" collapsed="false">
      <c r="A79" s="0" t="n">
        <v>1078</v>
      </c>
      <c r="B79" s="2" t="n">
        <v>46283</v>
      </c>
      <c r="C79" s="0" t="n">
        <v>3</v>
      </c>
      <c r="D79" s="3" t="s">
        <v>12</v>
      </c>
      <c r="E79" s="0" t="n">
        <v>1</v>
      </c>
      <c r="F79" s="0" t="n">
        <v>60000</v>
      </c>
      <c r="G79" s="3" t="s">
        <v>9</v>
      </c>
      <c r="H79" s="3" t="n">
        <f aca="false">E79*F79</f>
        <v>60000</v>
      </c>
    </row>
    <row r="80" customFormat="false" ht="15" hidden="false" customHeight="false" outlineLevel="0" collapsed="false">
      <c r="A80" s="0" t="n">
        <v>1079</v>
      </c>
      <c r="B80" s="2" t="n">
        <v>46284</v>
      </c>
      <c r="C80" s="0" t="n">
        <v>1</v>
      </c>
      <c r="D80" s="3" t="s">
        <v>10</v>
      </c>
      <c r="E80" s="0" t="n">
        <v>4</v>
      </c>
      <c r="F80" s="0" t="n">
        <v>40000</v>
      </c>
      <c r="G80" s="3" t="s">
        <v>9</v>
      </c>
      <c r="H80" s="3" t="n">
        <f aca="false">E80*F80</f>
        <v>160000</v>
      </c>
    </row>
    <row r="81" customFormat="false" ht="15" hidden="false" customHeight="false" outlineLevel="0" collapsed="false">
      <c r="A81" s="0" t="n">
        <v>1080</v>
      </c>
      <c r="B81" s="2" t="n">
        <v>46285</v>
      </c>
      <c r="C81" s="0" t="n">
        <v>3</v>
      </c>
      <c r="D81" s="3" t="s">
        <v>11</v>
      </c>
      <c r="E81" s="0" t="n">
        <v>2</v>
      </c>
      <c r="F81" s="0" t="n">
        <v>45000</v>
      </c>
      <c r="G81" s="3" t="s">
        <v>9</v>
      </c>
      <c r="H81" s="3" t="n">
        <f aca="false">E81*F81</f>
        <v>90000</v>
      </c>
    </row>
    <row r="82" customFormat="false" ht="15" hidden="false" customHeight="false" outlineLevel="0" collapsed="false">
      <c r="A82" s="0" t="n">
        <v>1081</v>
      </c>
      <c r="B82" s="2" t="n">
        <v>46286</v>
      </c>
      <c r="C82" s="0" t="n">
        <v>3</v>
      </c>
      <c r="D82" s="3" t="s">
        <v>12</v>
      </c>
      <c r="E82" s="0" t="n">
        <v>4</v>
      </c>
      <c r="F82" s="0" t="n">
        <v>60000</v>
      </c>
      <c r="G82" s="3" t="s">
        <v>9</v>
      </c>
      <c r="H82" s="3" t="n">
        <f aca="false">E82*F82</f>
        <v>240000</v>
      </c>
    </row>
    <row r="83" customFormat="false" ht="15" hidden="false" customHeight="false" outlineLevel="0" collapsed="false">
      <c r="A83" s="0" t="n">
        <v>1082</v>
      </c>
      <c r="B83" s="2" t="n">
        <v>46287</v>
      </c>
      <c r="C83" s="0" t="n">
        <v>1</v>
      </c>
      <c r="D83" s="3" t="s">
        <v>13</v>
      </c>
      <c r="E83" s="0" t="n">
        <v>2</v>
      </c>
      <c r="F83" s="0" t="n">
        <v>65000</v>
      </c>
      <c r="G83" s="3" t="s">
        <v>9</v>
      </c>
      <c r="H83" s="3" t="n">
        <f aca="false">E83*F83</f>
        <v>130000</v>
      </c>
    </row>
    <row r="84" customFormat="false" ht="15" hidden="false" customHeight="false" outlineLevel="0" collapsed="false">
      <c r="A84" s="0" t="n">
        <v>1083</v>
      </c>
      <c r="B84" s="2" t="n">
        <v>46287</v>
      </c>
      <c r="C84" s="0" t="n">
        <v>3</v>
      </c>
      <c r="D84" s="3" t="s">
        <v>13</v>
      </c>
      <c r="E84" s="0" t="n">
        <v>2</v>
      </c>
      <c r="F84" s="0" t="n">
        <v>65000</v>
      </c>
      <c r="G84" s="3" t="s">
        <v>14</v>
      </c>
      <c r="H84" s="3" t="n">
        <f aca="false">E84*F84</f>
        <v>130000</v>
      </c>
    </row>
    <row r="85" customFormat="false" ht="15" hidden="false" customHeight="false" outlineLevel="0" collapsed="false">
      <c r="A85" s="0" t="n">
        <v>1084</v>
      </c>
      <c r="B85" s="2" t="n">
        <v>46288</v>
      </c>
      <c r="C85" s="0" t="n">
        <v>1</v>
      </c>
      <c r="D85" s="3" t="s">
        <v>13</v>
      </c>
      <c r="E85" s="0" t="n">
        <v>1</v>
      </c>
      <c r="F85" s="0" t="n">
        <v>65000</v>
      </c>
      <c r="G85" s="3" t="s">
        <v>9</v>
      </c>
      <c r="H85" s="3" t="n">
        <f aca="false">E85*F85</f>
        <v>65000</v>
      </c>
    </row>
    <row r="86" customFormat="false" ht="15" hidden="false" customHeight="false" outlineLevel="0" collapsed="false">
      <c r="A86" s="0" t="n">
        <v>1085</v>
      </c>
      <c r="B86" s="2" t="n">
        <v>46290</v>
      </c>
      <c r="C86" s="0" t="n">
        <v>3</v>
      </c>
      <c r="D86" s="3" t="s">
        <v>11</v>
      </c>
      <c r="E86" s="0" t="n">
        <v>4</v>
      </c>
      <c r="F86" s="0" t="n">
        <v>45000</v>
      </c>
      <c r="G86" s="3" t="s">
        <v>9</v>
      </c>
      <c r="H86" s="3" t="n">
        <f aca="false">E86*F86</f>
        <v>180000</v>
      </c>
    </row>
    <row r="87" customFormat="false" ht="15" hidden="false" customHeight="false" outlineLevel="0" collapsed="false">
      <c r="A87" s="0" t="n">
        <v>1086</v>
      </c>
      <c r="B87" s="2" t="n">
        <v>46291</v>
      </c>
      <c r="C87" s="0" t="n">
        <v>2</v>
      </c>
      <c r="D87" s="3" t="s">
        <v>10</v>
      </c>
      <c r="E87" s="0" t="n">
        <v>1</v>
      </c>
      <c r="F87" s="0" t="n">
        <v>40000</v>
      </c>
      <c r="G87" s="3" t="s">
        <v>9</v>
      </c>
      <c r="H87" s="3" t="n">
        <f aca="false">E87*F87</f>
        <v>40000</v>
      </c>
    </row>
    <row r="88" customFormat="false" ht="15" hidden="false" customHeight="false" outlineLevel="0" collapsed="false">
      <c r="A88" s="0" t="n">
        <v>1087</v>
      </c>
      <c r="B88" s="2" t="n">
        <v>46291</v>
      </c>
      <c r="C88" s="0" t="n">
        <v>3</v>
      </c>
      <c r="D88" s="3" t="s">
        <v>13</v>
      </c>
      <c r="E88" s="0" t="n">
        <v>4</v>
      </c>
      <c r="F88" s="0" t="n">
        <v>65000</v>
      </c>
      <c r="G88" s="3" t="s">
        <v>9</v>
      </c>
      <c r="H88" s="3" t="n">
        <f aca="false">E88*F88</f>
        <v>260000</v>
      </c>
    </row>
    <row r="89" customFormat="false" ht="15" hidden="false" customHeight="false" outlineLevel="0" collapsed="false">
      <c r="A89" s="0" t="n">
        <v>1088</v>
      </c>
      <c r="B89" s="2" t="n">
        <v>46294</v>
      </c>
      <c r="C89" s="0" t="n">
        <v>1</v>
      </c>
      <c r="D89" s="3" t="s">
        <v>12</v>
      </c>
      <c r="E89" s="0" t="n">
        <v>2</v>
      </c>
      <c r="F89" s="0" t="n">
        <v>60000</v>
      </c>
      <c r="G89" s="3" t="s">
        <v>9</v>
      </c>
      <c r="H89" s="3" t="n">
        <f aca="false">E89*F89</f>
        <v>120000</v>
      </c>
    </row>
    <row r="90" customFormat="false" ht="15" hidden="false" customHeight="false" outlineLevel="0" collapsed="false">
      <c r="A90" s="0" t="n">
        <v>1089</v>
      </c>
      <c r="B90" s="2" t="n">
        <v>46295</v>
      </c>
      <c r="C90" s="0" t="n">
        <v>1</v>
      </c>
      <c r="D90" s="3" t="s">
        <v>8</v>
      </c>
      <c r="E90" s="0" t="n">
        <v>3</v>
      </c>
      <c r="F90" s="0" t="n">
        <v>55000</v>
      </c>
      <c r="G90" s="3" t="s">
        <v>9</v>
      </c>
      <c r="H90" s="3" t="n">
        <f aca="false">E90*F90</f>
        <v>165000</v>
      </c>
    </row>
    <row r="91" customFormat="false" ht="15" hidden="false" customHeight="false" outlineLevel="0" collapsed="false">
      <c r="A91" s="0" t="n">
        <v>1090</v>
      </c>
      <c r="B91" s="2" t="n">
        <v>46295</v>
      </c>
      <c r="C91" s="0" t="n">
        <v>1</v>
      </c>
      <c r="D91" s="3" t="s">
        <v>13</v>
      </c>
      <c r="E91" s="0" t="n">
        <v>2</v>
      </c>
      <c r="F91" s="0" t="n">
        <v>65000</v>
      </c>
      <c r="G91" s="3" t="s">
        <v>9</v>
      </c>
      <c r="H91" s="3" t="n">
        <f aca="false">E91*F91</f>
        <v>130000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</cols>
  <sheetData>
    <row r="1" customFormat="false" ht="15" hidden="false" customHeight="false" outlineLevel="0" collapsed="false">
      <c r="A1" s="1" t="s">
        <v>2</v>
      </c>
      <c r="B1" s="1" t="s">
        <v>15</v>
      </c>
      <c r="C1" s="1" t="s">
        <v>16</v>
      </c>
    </row>
    <row r="2" customFormat="false" ht="15" hidden="false" customHeight="false" outlineLevel="0" collapsed="false">
      <c r="A2" s="0" t="n">
        <v>1</v>
      </c>
      <c r="B2" s="0" t="s">
        <v>17</v>
      </c>
      <c r="C2" s="0" t="s">
        <v>18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s">
        <v>20</v>
      </c>
    </row>
    <row r="4" customFormat="false" ht="15" hidden="false" customHeight="false" outlineLevel="0" collapsed="false">
      <c r="A4" s="0" t="n">
        <v>3</v>
      </c>
      <c r="B4" s="0" t="s">
        <v>21</v>
      </c>
      <c r="C4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</cols>
  <sheetData>
    <row r="1" customFormat="false" ht="15" hidden="false" customHeight="false" outlineLevel="0" collapsed="false">
      <c r="A1" s="1" t="s">
        <v>2</v>
      </c>
      <c r="B1" s="1" t="s">
        <v>15</v>
      </c>
      <c r="C1" s="1" t="s">
        <v>23</v>
      </c>
    </row>
    <row r="2" customFormat="false" ht="15" hidden="false" customHeight="false" outlineLevel="0" collapsed="false">
      <c r="A2" s="0" t="n">
        <v>1</v>
      </c>
      <c r="B2" s="0" t="str">
        <f aca="false">INDEX(stores!$B$2:$B$4,MATCH(A2,stores!$A$2:$A$4,0))</f>
        <v>Saigon Central</v>
      </c>
      <c r="C2" s="0" t="n">
        <f aca="false">SUMIFS(orders!$H$2:$H$91,orders!$C$2:$C$91,A2,orders!$G$2:$G$91,"completed")</f>
        <v>3835000</v>
      </c>
    </row>
    <row r="3" customFormat="false" ht="15" hidden="false" customHeight="false" outlineLevel="0" collapsed="false">
      <c r="A3" s="0" t="n">
        <v>2</v>
      </c>
      <c r="B3" s="0" t="str">
        <f aca="false">INDEX(stores!$B$2:$B$4,MATCH(A3,stores!$A$2:$A$4,0))</f>
        <v>Hanoi Old Quarter</v>
      </c>
      <c r="C3" s="0" t="n">
        <f aca="false">SUMIFS(orders!$H$2:$H$91,orders!$C$2:$C$91,A3,orders!$G$2:$G$91,"completed")</f>
        <v>2895000</v>
      </c>
    </row>
    <row r="4" customFormat="false" ht="15" hidden="false" customHeight="false" outlineLevel="0" collapsed="false">
      <c r="A4" s="0" t="n">
        <v>3</v>
      </c>
      <c r="B4" s="0" t="str">
        <f aca="false">INDEX(stores!$B$2:$B$4,MATCH(A4,stores!$A$2:$A$4,0))</f>
        <v>Da Nang Beach</v>
      </c>
      <c r="C4" s="0" t="n">
        <f aca="false">SUMIFS(orders!$H$2:$H$91,orders!$C$2:$C$91,A4,orders!$G$2:$G$91,"completed")</f>
        <v>3085000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5" hidden="false" customHeight="false" outlineLevel="0" collapsed="false">
      <c r="A1" s="1" t="s">
        <v>2</v>
      </c>
      <c r="B1" s="1" t="s">
        <v>15</v>
      </c>
      <c r="C1" s="1" t="s">
        <v>24</v>
      </c>
      <c r="D1" s="1" t="s">
        <v>14</v>
      </c>
      <c r="E1" s="1" t="s">
        <v>25</v>
      </c>
    </row>
    <row r="2" customFormat="false" ht="15" hidden="false" customHeight="false" outlineLevel="0" collapsed="false">
      <c r="A2" s="0" t="n">
        <v>1</v>
      </c>
      <c r="B2" s="0" t="str">
        <f aca="false">INDEX(stores!$B$2:$B$4,MATCH(A2,stores!$A$2:$A$4,0))</f>
        <v>Saigon Central</v>
      </c>
      <c r="C2" s="0" t="n">
        <f aca="false">COUNTIFS(orders!$C$2:$C$91,A2)</f>
        <v>33</v>
      </c>
      <c r="D2" s="0" t="n">
        <f aca="false">COUNTIFS(orders!$C$2:$C$91,A2,orders!$G$2:$G$91,"cancelled")</f>
        <v>1</v>
      </c>
      <c r="E2" s="0" t="n">
        <f aca="false">ROUND(100*D2/C2,1)</f>
        <v>3</v>
      </c>
    </row>
    <row r="3" customFormat="false" ht="15" hidden="false" customHeight="false" outlineLevel="0" collapsed="false">
      <c r="A3" s="0" t="n">
        <v>2</v>
      </c>
      <c r="B3" s="0" t="str">
        <f aca="false">INDEX(stores!$B$2:$B$4,MATCH(A3,stores!$A$2:$A$4,0))</f>
        <v>Hanoi Old Quarter</v>
      </c>
      <c r="C3" s="0" t="n">
        <f aca="false">COUNTIFS(orders!$C$2:$C$91,A3)</f>
        <v>33</v>
      </c>
      <c r="D3" s="0" t="n">
        <f aca="false">COUNTIFS(orders!$C$2:$C$91,A3,orders!$G$2:$G$91,"cancelled")</f>
        <v>6</v>
      </c>
      <c r="E3" s="0" t="n">
        <f aca="false">ROUND(100*D3/C3,1)</f>
        <v>18.2</v>
      </c>
    </row>
    <row r="4" customFormat="false" ht="15" hidden="false" customHeight="false" outlineLevel="0" collapsed="false">
      <c r="A4" s="0" t="n">
        <v>3</v>
      </c>
      <c r="B4" s="0" t="str">
        <f aca="false">INDEX(stores!$B$2:$B$4,MATCH(A4,stores!$A$2:$A$4,0))</f>
        <v>Da Nang Beach</v>
      </c>
      <c r="C4" s="0" t="n">
        <f aca="false">COUNTIFS(orders!$C$2:$C$91,A4)</f>
        <v>24</v>
      </c>
      <c r="D4" s="0" t="n">
        <f aca="false">COUNTIFS(orders!$C$2:$C$91,A4,orders!$G$2:$G$91,"cancelled")</f>
        <v>2</v>
      </c>
      <c r="E4" s="0" t="n">
        <f aca="false">ROUND(100*D4/C4,1)</f>
        <v>8.3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1" t="s">
        <v>26</v>
      </c>
      <c r="B1" s="1" t="s">
        <v>27</v>
      </c>
      <c r="C1" s="1" t="s">
        <v>23</v>
      </c>
      <c r="D1" s="1" t="s">
        <v>28</v>
      </c>
    </row>
    <row r="2" customFormat="false" ht="15" hidden="false" customHeight="false" outlineLevel="0" collapsed="false">
      <c r="A2" s="2" t="n">
        <v>46204</v>
      </c>
      <c r="B2" s="0" t="str">
        <f aca="false">TEXT(A2,"yyyy-mm")</f>
        <v>2026-07</v>
      </c>
      <c r="C2" s="3" t="n">
        <f aca="false">SUMIFS(orders!$H$2:$H$91,orders!$G$2:$G$91,"completed",orders!$B$2:$B$91,"&gt;="&amp;A2,orders!$B$2:$B$91,"&lt;"&amp;EDATE(A2,1))</f>
        <v>3300000</v>
      </c>
    </row>
    <row r="3" customFormat="false" ht="15" hidden="false" customHeight="false" outlineLevel="0" collapsed="false">
      <c r="A3" s="2" t="n">
        <v>46235</v>
      </c>
      <c r="B3" s="0" t="str">
        <f aca="false">TEXT(A3,"yyyy-mm")</f>
        <v>2026-08</v>
      </c>
      <c r="C3" s="3" t="n">
        <f aca="false">SUMIFS(orders!$H$2:$H$91,orders!$G$2:$G$91,"completed",orders!$B$2:$B$91,"&gt;="&amp;A3,orders!$B$2:$B$91,"&lt;"&amp;EDATE(A3,1))</f>
        <v>3055000</v>
      </c>
      <c r="D3" s="3" t="n">
        <f aca="false">ROUND(100*(C3/C2-1),1)</f>
        <v>-7.4</v>
      </c>
    </row>
    <row r="4" customFormat="false" ht="15" hidden="false" customHeight="false" outlineLevel="0" collapsed="false">
      <c r="A4" s="2" t="n">
        <v>46266</v>
      </c>
      <c r="B4" s="0" t="str">
        <f aca="false">TEXT(A4,"yyyy-mm")</f>
        <v>2026-09</v>
      </c>
      <c r="C4" s="3" t="n">
        <f aca="false">SUMIFS(orders!$H$2:$H$91,orders!$G$2:$G$91,"completed",orders!$B$2:$B$91,"&gt;="&amp;A4,orders!$B$2:$B$91,"&lt;"&amp;EDATE(A4,1))</f>
        <v>3460000</v>
      </c>
      <c r="D4" s="3" t="n">
        <f aca="false">ROUND(100*(C4/C3-1),1)</f>
        <v>13.3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15" hidden="false" customHeight="false" outlineLevel="0" collapsed="false">
      <c r="A1" s="1" t="s">
        <v>2</v>
      </c>
      <c r="B1" s="1" t="s">
        <v>15</v>
      </c>
      <c r="C1" s="1" t="s">
        <v>8</v>
      </c>
      <c r="D1" s="1" t="s">
        <v>11</v>
      </c>
      <c r="E1" s="1" t="s">
        <v>12</v>
      </c>
      <c r="F1" s="1" t="s">
        <v>10</v>
      </c>
      <c r="G1" s="1" t="s">
        <v>13</v>
      </c>
      <c r="H1" s="1" t="s">
        <v>29</v>
      </c>
      <c r="I1" s="1" t="s">
        <v>30</v>
      </c>
    </row>
    <row r="2" customFormat="false" ht="15" hidden="false" customHeight="false" outlineLevel="0" collapsed="false">
      <c r="A2" s="0" t="n">
        <v>1</v>
      </c>
      <c r="B2" s="0" t="str">
        <f aca="false">INDEX(stores!$B$2:$B$4,MATCH(A2,stores!$A$2:$A$4,0))</f>
        <v>Saigon Central</v>
      </c>
      <c r="C2" s="0" t="n">
        <f aca="false">SUMIFS(orders!$H$2:$H$91,orders!$C$2:$C$91,$A2,orders!$D$2:$D$91,C$1,orders!$G$2:$G$91,"completed")</f>
        <v>770000</v>
      </c>
      <c r="D2" s="0" t="n">
        <f aca="false">SUMIFS(orders!$H$2:$H$91,orders!$C$2:$C$91,$A2,orders!$D$2:$D$91,D$1,orders!$G$2:$G$91,"completed")</f>
        <v>495000</v>
      </c>
      <c r="E2" s="0" t="n">
        <f aca="false">SUMIFS(orders!$H$2:$H$91,orders!$C$2:$C$91,$A2,orders!$D$2:$D$91,E$1,orders!$G$2:$G$91,"completed")</f>
        <v>1200000</v>
      </c>
      <c r="F2" s="0" t="n">
        <f aca="false">SUMIFS(orders!$H$2:$H$91,orders!$C$2:$C$91,$A2,orders!$D$2:$D$91,F$1,orders!$G$2:$G$91,"completed")</f>
        <v>720000</v>
      </c>
      <c r="G2" s="0" t="n">
        <f aca="false">SUMIFS(orders!$H$2:$H$91,orders!$C$2:$C$91,$A2,orders!$D$2:$D$91,G$1,orders!$G$2:$G$91,"completed")</f>
        <v>650000</v>
      </c>
      <c r="H2" s="0" t="str">
        <f aca="false">INDEX($C$1:$G$1,MATCH(MAX(C2:G2),C2:G2,0))</f>
        <v>Cold Brew</v>
      </c>
      <c r="I2" s="0" t="n">
        <f aca="false">MAX(C2:G2)</f>
        <v>1200000</v>
      </c>
    </row>
    <row r="3" customFormat="false" ht="15" hidden="false" customHeight="false" outlineLevel="0" collapsed="false">
      <c r="A3" s="0" t="n">
        <v>2</v>
      </c>
      <c r="B3" s="0" t="str">
        <f aca="false">INDEX(stores!$B$2:$B$4,MATCH(A3,stores!$A$2:$A$4,0))</f>
        <v>Hanoi Old Quarter</v>
      </c>
      <c r="C3" s="0" t="n">
        <f aca="false">SUMIFS(orders!$H$2:$H$91,orders!$C$2:$C$91,$A3,orders!$D$2:$D$91,C$1,orders!$G$2:$G$91,"completed")</f>
        <v>605000</v>
      </c>
      <c r="D3" s="0" t="n">
        <f aca="false">SUMIFS(orders!$H$2:$H$91,orders!$C$2:$C$91,$A3,orders!$D$2:$D$91,D$1,orders!$G$2:$G$91,"completed")</f>
        <v>495000</v>
      </c>
      <c r="E3" s="0" t="n">
        <f aca="false">SUMIFS(orders!$H$2:$H$91,orders!$C$2:$C$91,$A3,orders!$D$2:$D$91,E$1,orders!$G$2:$G$91,"completed")</f>
        <v>240000</v>
      </c>
      <c r="F3" s="0" t="n">
        <f aca="false">SUMIFS(orders!$H$2:$H$91,orders!$C$2:$C$91,$A3,orders!$D$2:$D$91,F$1,orders!$G$2:$G$91,"completed")</f>
        <v>840000</v>
      </c>
      <c r="G3" s="0" t="n">
        <f aca="false">SUMIFS(orders!$H$2:$H$91,orders!$C$2:$C$91,$A3,orders!$D$2:$D$91,G$1,orders!$G$2:$G$91,"completed")</f>
        <v>715000</v>
      </c>
      <c r="H3" s="0" t="str">
        <f aca="false">INDEX($C$1:$G$1,MATCH(MAX(C3:G3),C3:G3,0))</f>
        <v>Croissant</v>
      </c>
      <c r="I3" s="0" t="n">
        <f aca="false">MAX(C3:G3)</f>
        <v>840000</v>
      </c>
    </row>
    <row r="4" customFormat="false" ht="15" hidden="false" customHeight="false" outlineLevel="0" collapsed="false">
      <c r="A4" s="0" t="n">
        <v>3</v>
      </c>
      <c r="B4" s="0" t="str">
        <f aca="false">INDEX(stores!$B$2:$B$4,MATCH(A4,stores!$A$2:$A$4,0))</f>
        <v>Da Nang Beach</v>
      </c>
      <c r="C4" s="0" t="n">
        <f aca="false">SUMIFS(orders!$H$2:$H$91,orders!$C$2:$C$91,$A4,orders!$D$2:$D$91,C$1,orders!$G$2:$G$91,"completed")</f>
        <v>220000</v>
      </c>
      <c r="D4" s="0" t="n">
        <f aca="false">SUMIFS(orders!$H$2:$H$91,orders!$C$2:$C$91,$A4,orders!$D$2:$D$91,D$1,orders!$G$2:$G$91,"completed")</f>
        <v>405000</v>
      </c>
      <c r="E4" s="0" t="n">
        <f aca="false">SUMIFS(orders!$H$2:$H$91,orders!$C$2:$C$91,$A4,orders!$D$2:$D$91,E$1,orders!$G$2:$G$91,"completed")</f>
        <v>1260000</v>
      </c>
      <c r="F4" s="0" t="n">
        <f aca="false">SUMIFS(orders!$H$2:$H$91,orders!$C$2:$C$91,$A4,orders!$D$2:$D$91,F$1,orders!$G$2:$G$91,"completed")</f>
        <v>160000</v>
      </c>
      <c r="G4" s="0" t="n">
        <f aca="false">SUMIFS(orders!$H$2:$H$91,orders!$C$2:$C$91,$A4,orders!$D$2:$D$91,G$1,orders!$G$2:$G$91,"completed")</f>
        <v>1040000</v>
      </c>
      <c r="H4" s="0" t="str">
        <f aca="false">INDEX($C$1:$G$1,MATCH(MAX(C4:G4),C4:G4,0))</f>
        <v>Cold Brew</v>
      </c>
      <c r="I4" s="0" t="n">
        <f aca="false">MAX(C4:G4)</f>
        <v>1260000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2026-10-29T07:21:13Z</dcterms:created>
  <dc:creator>openpyxl</dc:creator>
  <dc:description/>
  <dc:language>en-US</dc:language>
  <cp:lastModifiedBy/>
  <dcterms:modified xsi:type="dcterms:W3CDTF">2026-10-29T07:21:13Z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