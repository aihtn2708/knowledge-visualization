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oans" sheetId="2" state="visible" r:id="rId4"/>
    <sheet name="rules" sheetId="3" state="visible" r:id="rId5"/>
    <sheet name="task1" sheetId="4" state="visible" r:id="rId6"/>
    <sheet name="task2" sheetId="5" state="visible" r:id="rId7"/>
    <sheet name="task3" sheetId="6" state="visible" r:id="rId8"/>
    <sheet name="task4" sheetId="7" state="visible" r:id="rId9"/>
    <sheet name="task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<sst xmlns="http://schemas.openxmlformats.org/spreadsheetml/2006/main" count="169" uniqueCount="37">
  <si>
    <t xml:space="preserve">Debt Classification Lab (educational)</t>
  </si>
  <si>
    <t xml:space="preserve">Reporting date: 30 Sep 2026. Previous month-end: 31 Aug 2026. Amounts in VND.</t>
  </si>
  <si>
    <t xml:space="preserve">Sheets loans and rules are the data. Sheets task1 to task5 hold one reference solution each, written as Excel formulas.</t>
  </si>
  <si>
    <t xml:space="preserve">Simplified rules, loosely based on Circular 11/2021/TT-NHNN (as amended by 31/2024/TT-NHNN): quantitative, days-past-due only.</t>
  </si>
  <si>
    <t xml:space="preserve">Not compliance advice. Real classification also uses qualitative criteria, restructuring status and collateral.</t>
  </si>
  <si>
    <t xml:space="preserve">loan_id</t>
  </si>
  <si>
    <t xml:space="preserve">customer_id</t>
  </si>
  <si>
    <t xml:space="preserve">product</t>
  </si>
  <si>
    <t xml:space="preserve">disbursed</t>
  </si>
  <si>
    <t xml:space="preserve">principal</t>
  </si>
  <si>
    <t xml:space="preserve">outstanding</t>
  </si>
  <si>
    <t xml:space="preserve">dpd</t>
  </si>
  <si>
    <t xml:space="preserve">dpd_prev</t>
  </si>
  <si>
    <t xml:space="preserve">Credit card</t>
  </si>
  <si>
    <t xml:space="preserve">Motorbike loan</t>
  </si>
  <si>
    <t xml:space="preserve">Appliance installment</t>
  </si>
  <si>
    <t xml:space="preserve">Personal loan</t>
  </si>
  <si>
    <t xml:space="preserve">grp</t>
  </si>
  <si>
    <t xml:space="preserve">label</t>
  </si>
  <si>
    <t xml:space="preserve">min_dpd</t>
  </si>
  <si>
    <t xml:space="preserve">max_dpd</t>
  </si>
  <si>
    <t xml:space="preserve">provision_rate</t>
  </si>
  <si>
    <t xml:space="preserve">Pass</t>
  </si>
  <si>
    <t xml:space="preserve">Special mention</t>
  </si>
  <si>
    <t xml:space="preserve">Substandard</t>
  </si>
  <si>
    <t xml:space="preserve">Doubtful</t>
  </si>
  <si>
    <t xml:space="preserve">Loss</t>
  </si>
  <si>
    <t xml:space="preserve">loans</t>
  </si>
  <si>
    <t xml:space="preserve">provision</t>
  </si>
  <si>
    <t xml:space="preserve">total_outstanding</t>
  </si>
  <si>
    <t xml:space="preserve">npl_outstanding</t>
  </si>
  <si>
    <t xml:space="preserve">npl_ratio_pct</t>
  </si>
  <si>
    <t xml:space="preserve">total_provision</t>
  </si>
  <si>
    <t xml:space="preserve">coverage_pct</t>
  </si>
  <si>
    <t xml:space="preserve">own_grp</t>
  </si>
  <si>
    <t xml:space="preserve">worst_grp</t>
  </si>
  <si>
    <t xml:space="preserve">from_grp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</si>
</sst>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customFormat="false" ht="15" hidden="false" customHeight="false" outlineLevel="0" collapsed="false">
      <c r="A2" s="0" t="n">
        <v>7001</v>
      </c>
      <c r="B2" s="0" t="n">
        <v>3037</v>
      </c>
      <c r="C2" s="0" t="s">
        <v>13</v>
      </c>
      <c r="D2" s="3" t="n">
        <v>45904</v>
      </c>
      <c r="E2" s="4" t="n">
        <v>14000000</v>
      </c>
      <c r="F2" s="4" t="n">
        <v>9000000</v>
      </c>
      <c r="G2" s="0" t="n">
        <v>15</v>
      </c>
      <c r="H2" s="0" t="n">
        <v>0</v>
      </c>
    </row>
    <row r="3" customFormat="false" ht="15" hidden="false" customHeight="false" outlineLevel="0" collapsed="false">
      <c r="A3" s="0" t="n">
        <v>7002</v>
      </c>
      <c r="B3" s="0" t="n">
        <v>3035</v>
      </c>
      <c r="C3" s="0" t="s">
        <v>14</v>
      </c>
      <c r="D3" s="3" t="n">
        <v>45873</v>
      </c>
      <c r="E3" s="4" t="n">
        <v>55000000</v>
      </c>
      <c r="F3" s="4" t="n">
        <v>26200000</v>
      </c>
      <c r="G3" s="0" t="n">
        <v>0</v>
      </c>
      <c r="H3" s="0" t="n">
        <v>0</v>
      </c>
    </row>
    <row r="4" customFormat="false" ht="15" hidden="false" customHeight="false" outlineLevel="0" collapsed="false">
      <c r="A4" s="0" t="n">
        <v>7003</v>
      </c>
      <c r="B4" s="0" t="n">
        <v>3065</v>
      </c>
      <c r="C4" s="0" t="s">
        <v>15</v>
      </c>
      <c r="D4" s="3" t="n">
        <v>45642</v>
      </c>
      <c r="E4" s="4" t="n">
        <v>15000000</v>
      </c>
      <c r="F4" s="4" t="n">
        <v>6000000</v>
      </c>
      <c r="G4" s="0" t="n">
        <v>21</v>
      </c>
      <c r="H4" s="0" t="n">
        <v>0</v>
      </c>
    </row>
    <row r="5" customFormat="false" ht="15" hidden="false" customHeight="false" outlineLevel="0" collapsed="false">
      <c r="A5" s="0" t="n">
        <v>7004</v>
      </c>
      <c r="B5" s="0" t="n">
        <v>3033</v>
      </c>
      <c r="C5" s="0" t="s">
        <v>14</v>
      </c>
      <c r="D5" s="3" t="n">
        <v>45835</v>
      </c>
      <c r="E5" s="4" t="n">
        <v>40000000</v>
      </c>
      <c r="F5" s="4" t="n">
        <v>23100000</v>
      </c>
      <c r="G5" s="0" t="n">
        <v>9</v>
      </c>
      <c r="H5" s="0" t="n">
        <v>0</v>
      </c>
    </row>
    <row r="6" customFormat="false" ht="15" hidden="false" customHeight="false" outlineLevel="0" collapsed="false">
      <c r="A6" s="0" t="n">
        <v>7005</v>
      </c>
      <c r="B6" s="0" t="n">
        <v>3056</v>
      </c>
      <c r="C6" s="0" t="s">
        <v>13</v>
      </c>
      <c r="D6" s="3" t="n">
        <v>45663</v>
      </c>
      <c r="E6" s="4" t="n">
        <v>31000000</v>
      </c>
      <c r="F6" s="4" t="n">
        <v>20600000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7006</v>
      </c>
      <c r="B7" s="0" t="n">
        <v>3017</v>
      </c>
      <c r="C7" s="0" t="s">
        <v>16</v>
      </c>
      <c r="D7" s="3" t="n">
        <v>45676</v>
      </c>
      <c r="E7" s="4" t="n">
        <v>44000000</v>
      </c>
      <c r="F7" s="4" t="n">
        <v>20300000</v>
      </c>
      <c r="G7" s="0" t="n">
        <v>69</v>
      </c>
      <c r="H7" s="0" t="n">
        <v>39</v>
      </c>
    </row>
    <row r="8" customFormat="false" ht="15" hidden="false" customHeight="false" outlineLevel="0" collapsed="false">
      <c r="A8" s="0" t="n">
        <v>7007</v>
      </c>
      <c r="B8" s="0" t="n">
        <v>3022</v>
      </c>
      <c r="C8" s="0" t="s">
        <v>13</v>
      </c>
      <c r="D8" s="3" t="n">
        <v>45750</v>
      </c>
      <c r="E8" s="4" t="n">
        <v>22000000</v>
      </c>
      <c r="F8" s="4" t="n">
        <v>11100000</v>
      </c>
      <c r="G8" s="0" t="n">
        <v>0</v>
      </c>
      <c r="H8" s="0" t="n">
        <v>0</v>
      </c>
    </row>
    <row r="9" customFormat="false" ht="15" hidden="false" customHeight="false" outlineLevel="0" collapsed="false">
      <c r="A9" s="0" t="n">
        <v>7008</v>
      </c>
      <c r="B9" s="0" t="n">
        <v>3040</v>
      </c>
      <c r="C9" s="0" t="s">
        <v>16</v>
      </c>
      <c r="D9" s="3" t="n">
        <v>45694</v>
      </c>
      <c r="E9" s="4" t="n">
        <v>140000000</v>
      </c>
      <c r="F9" s="4" t="n">
        <v>133000000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n">
        <v>7009</v>
      </c>
      <c r="B10" s="0" t="n">
        <v>3004</v>
      </c>
      <c r="C10" s="0" t="s">
        <v>14</v>
      </c>
      <c r="D10" s="3" t="n">
        <v>45507</v>
      </c>
      <c r="E10" s="4" t="n">
        <v>52000000</v>
      </c>
      <c r="F10" s="4" t="n">
        <v>40800000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7010</v>
      </c>
      <c r="B11" s="0" t="n">
        <v>3064</v>
      </c>
      <c r="C11" s="0" t="s">
        <v>16</v>
      </c>
      <c r="D11" s="3" t="n">
        <v>45996</v>
      </c>
      <c r="E11" s="4" t="n">
        <v>114000000</v>
      </c>
      <c r="F11" s="4" t="n">
        <v>87400000</v>
      </c>
      <c r="G11" s="0" t="n">
        <v>10</v>
      </c>
      <c r="H11" s="0" t="n">
        <v>0</v>
      </c>
    </row>
    <row r="12" customFormat="false" ht="15" hidden="false" customHeight="false" outlineLevel="0" collapsed="false">
      <c r="A12" s="0" t="n">
        <v>7011</v>
      </c>
      <c r="B12" s="0" t="n">
        <v>3040</v>
      </c>
      <c r="C12" s="0" t="s">
        <v>13</v>
      </c>
      <c r="D12" s="3" t="n">
        <v>45810</v>
      </c>
      <c r="E12" s="4" t="n">
        <v>18000000</v>
      </c>
      <c r="F12" s="4" t="n">
        <v>14900000</v>
      </c>
      <c r="G12" s="0" t="n">
        <v>89</v>
      </c>
      <c r="H12" s="0" t="n">
        <v>59</v>
      </c>
    </row>
    <row r="13" customFormat="false" ht="15" hidden="false" customHeight="false" outlineLevel="0" collapsed="false">
      <c r="A13" s="0" t="n">
        <v>7012</v>
      </c>
      <c r="B13" s="0" t="n">
        <v>3040</v>
      </c>
      <c r="C13" s="0" t="s">
        <v>16</v>
      </c>
      <c r="D13" s="3" t="n">
        <v>46115</v>
      </c>
      <c r="E13" s="4" t="n">
        <v>163000000</v>
      </c>
      <c r="F13" s="4" t="n">
        <v>118500000</v>
      </c>
      <c r="G13" s="0" t="n">
        <v>26</v>
      </c>
      <c r="H13" s="0" t="n">
        <v>0</v>
      </c>
    </row>
    <row r="14" customFormat="false" ht="15" hidden="false" customHeight="false" outlineLevel="0" collapsed="false">
      <c r="A14" s="0" t="n">
        <v>7013</v>
      </c>
      <c r="B14" s="0" t="n">
        <v>3017</v>
      </c>
      <c r="C14" s="0" t="s">
        <v>14</v>
      </c>
      <c r="D14" s="3" t="n">
        <v>45656</v>
      </c>
      <c r="E14" s="4" t="n">
        <v>33000000</v>
      </c>
      <c r="F14" s="4" t="n">
        <v>26900000</v>
      </c>
      <c r="G14" s="0" t="n">
        <v>111</v>
      </c>
      <c r="H14" s="0" t="n">
        <v>81</v>
      </c>
    </row>
    <row r="15" customFormat="false" ht="15" hidden="false" customHeight="false" outlineLevel="0" collapsed="false">
      <c r="A15" s="0" t="n">
        <v>7014</v>
      </c>
      <c r="B15" s="0" t="n">
        <v>3061</v>
      </c>
      <c r="C15" s="0" t="s">
        <v>14</v>
      </c>
      <c r="D15" s="3" t="n">
        <v>45514</v>
      </c>
      <c r="E15" s="4" t="n">
        <v>28000000</v>
      </c>
      <c r="F15" s="4" t="n">
        <v>16600000</v>
      </c>
      <c r="G15" s="0" t="n">
        <v>80</v>
      </c>
      <c r="H15" s="0" t="n">
        <v>50</v>
      </c>
    </row>
    <row r="16" customFormat="false" ht="15" hidden="false" customHeight="false" outlineLevel="0" collapsed="false">
      <c r="A16" s="0" t="n">
        <v>7015</v>
      </c>
      <c r="B16" s="0" t="n">
        <v>3024</v>
      </c>
      <c r="C16" s="0" t="s">
        <v>13</v>
      </c>
      <c r="D16" s="3" t="n">
        <v>46128</v>
      </c>
      <c r="E16" s="4" t="n">
        <v>7000000</v>
      </c>
      <c r="F16" s="4" t="n">
        <v>5900000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n">
        <v>7016</v>
      </c>
      <c r="B17" s="0" t="n">
        <v>3002</v>
      </c>
      <c r="C17" s="0" t="s">
        <v>14</v>
      </c>
      <c r="D17" s="3" t="n">
        <v>45626</v>
      </c>
      <c r="E17" s="4" t="n">
        <v>22000000</v>
      </c>
      <c r="F17" s="4" t="n">
        <v>14800000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n">
        <v>7017</v>
      </c>
      <c r="B18" s="0" t="n">
        <v>3046</v>
      </c>
      <c r="C18" s="0" t="s">
        <v>16</v>
      </c>
      <c r="D18" s="3" t="n">
        <v>45748</v>
      </c>
      <c r="E18" s="4" t="n">
        <v>137000000</v>
      </c>
      <c r="F18" s="4" t="n">
        <v>68700000</v>
      </c>
      <c r="G18" s="0" t="n">
        <v>0</v>
      </c>
      <c r="H18" s="0" t="n">
        <v>56</v>
      </c>
    </row>
    <row r="19" customFormat="false" ht="15" hidden="false" customHeight="false" outlineLevel="0" collapsed="false">
      <c r="A19" s="0" t="n">
        <v>7018</v>
      </c>
      <c r="B19" s="0" t="n">
        <v>3021</v>
      </c>
      <c r="C19" s="0" t="s">
        <v>16</v>
      </c>
      <c r="D19" s="3" t="n">
        <v>46021</v>
      </c>
      <c r="E19" s="4" t="n">
        <v>194000000</v>
      </c>
      <c r="F19" s="4" t="n">
        <v>128300000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n">
        <v>7019</v>
      </c>
      <c r="B20" s="0" t="n">
        <v>3027</v>
      </c>
      <c r="C20" s="0" t="s">
        <v>16</v>
      </c>
      <c r="D20" s="3" t="n">
        <v>45660</v>
      </c>
      <c r="E20" s="4" t="n">
        <v>50000000</v>
      </c>
      <c r="F20" s="4" t="n">
        <v>46300000</v>
      </c>
      <c r="G20" s="0" t="n">
        <v>181</v>
      </c>
      <c r="H20" s="0" t="n">
        <v>151</v>
      </c>
    </row>
    <row r="21" customFormat="false" ht="15" hidden="false" customHeight="false" outlineLevel="0" collapsed="false">
      <c r="A21" s="0" t="n">
        <v>7020</v>
      </c>
      <c r="B21" s="0" t="n">
        <v>3037</v>
      </c>
      <c r="C21" s="0" t="s">
        <v>14</v>
      </c>
      <c r="D21" s="3" t="n">
        <v>45748</v>
      </c>
      <c r="E21" s="4" t="n">
        <v>40000000</v>
      </c>
      <c r="F21" s="4" t="n">
        <v>35000000</v>
      </c>
      <c r="G21" s="0" t="n">
        <v>0</v>
      </c>
      <c r="H21" s="0" t="n">
        <v>0</v>
      </c>
    </row>
    <row r="22" customFormat="false" ht="15" hidden="false" customHeight="false" outlineLevel="0" collapsed="false">
      <c r="A22" s="0" t="n">
        <v>7021</v>
      </c>
      <c r="B22" s="0" t="n">
        <v>3063</v>
      </c>
      <c r="C22" s="0" t="s">
        <v>14</v>
      </c>
      <c r="D22" s="3" t="n">
        <v>45690</v>
      </c>
      <c r="E22" s="4" t="n">
        <v>22000000</v>
      </c>
      <c r="F22" s="4" t="n">
        <v>17600000</v>
      </c>
      <c r="G22" s="0" t="n">
        <v>7</v>
      </c>
      <c r="H22" s="0" t="n">
        <v>0</v>
      </c>
    </row>
    <row r="23" customFormat="false" ht="15" hidden="false" customHeight="false" outlineLevel="0" collapsed="false">
      <c r="A23" s="0" t="n">
        <v>7022</v>
      </c>
      <c r="B23" s="0" t="n">
        <v>3060</v>
      </c>
      <c r="C23" s="0" t="s">
        <v>16</v>
      </c>
      <c r="D23" s="3" t="n">
        <v>46021</v>
      </c>
      <c r="E23" s="4" t="n">
        <v>20000000</v>
      </c>
      <c r="F23" s="4" t="n">
        <v>17400000</v>
      </c>
      <c r="G23" s="0" t="n">
        <v>40</v>
      </c>
      <c r="H23" s="0" t="n">
        <v>10</v>
      </c>
    </row>
    <row r="24" customFormat="false" ht="15" hidden="false" customHeight="false" outlineLevel="0" collapsed="false">
      <c r="A24" s="0" t="n">
        <v>7023</v>
      </c>
      <c r="B24" s="0" t="n">
        <v>3039</v>
      </c>
      <c r="C24" s="0" t="s">
        <v>16</v>
      </c>
      <c r="D24" s="3" t="n">
        <v>46005</v>
      </c>
      <c r="E24" s="4" t="n">
        <v>149000000</v>
      </c>
      <c r="F24" s="4" t="n">
        <v>120300000</v>
      </c>
      <c r="G24" s="0" t="n">
        <v>210</v>
      </c>
      <c r="H24" s="0" t="n">
        <v>180</v>
      </c>
    </row>
    <row r="25" customFormat="false" ht="15" hidden="false" customHeight="false" outlineLevel="0" collapsed="false">
      <c r="A25" s="0" t="n">
        <v>7024</v>
      </c>
      <c r="B25" s="0" t="n">
        <v>3033</v>
      </c>
      <c r="C25" s="0" t="s">
        <v>16</v>
      </c>
      <c r="D25" s="3" t="n">
        <v>45945</v>
      </c>
      <c r="E25" s="4" t="n">
        <v>169000000</v>
      </c>
      <c r="F25" s="4" t="n">
        <v>164500000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n">
        <v>7025</v>
      </c>
      <c r="B26" s="0" t="n">
        <v>3021</v>
      </c>
      <c r="C26" s="0" t="s">
        <v>15</v>
      </c>
      <c r="D26" s="3" t="n">
        <v>45833</v>
      </c>
      <c r="E26" s="4" t="n">
        <v>13000000</v>
      </c>
      <c r="F26" s="4" t="n">
        <v>11000000</v>
      </c>
      <c r="G26" s="0" t="n">
        <v>60</v>
      </c>
      <c r="H26" s="0" t="n">
        <v>30</v>
      </c>
    </row>
    <row r="27" customFormat="false" ht="15" hidden="false" customHeight="false" outlineLevel="0" collapsed="false">
      <c r="A27" s="0" t="n">
        <v>7026</v>
      </c>
      <c r="B27" s="0" t="n">
        <v>3033</v>
      </c>
      <c r="C27" s="0" t="s">
        <v>13</v>
      </c>
      <c r="D27" s="3" t="n">
        <v>45472</v>
      </c>
      <c r="E27" s="4" t="n">
        <v>21000000</v>
      </c>
      <c r="F27" s="4" t="n">
        <v>19000000</v>
      </c>
      <c r="G27" s="0" t="n">
        <v>391</v>
      </c>
      <c r="H27" s="0" t="n">
        <v>361</v>
      </c>
    </row>
    <row r="28" customFormat="false" ht="15" hidden="false" customHeight="false" outlineLevel="0" collapsed="false">
      <c r="A28" s="0" t="n">
        <v>7027</v>
      </c>
      <c r="B28" s="0" t="n">
        <v>3004</v>
      </c>
      <c r="C28" s="0" t="s">
        <v>16</v>
      </c>
      <c r="D28" s="3" t="n">
        <v>45776</v>
      </c>
      <c r="E28" s="4" t="n">
        <v>88000000</v>
      </c>
      <c r="F28" s="4" t="n">
        <v>46100000</v>
      </c>
      <c r="G28" s="0" t="n">
        <v>34</v>
      </c>
      <c r="H28" s="0" t="n">
        <v>4</v>
      </c>
    </row>
    <row r="29" customFormat="false" ht="15" hidden="false" customHeight="false" outlineLevel="0" collapsed="false">
      <c r="A29" s="0" t="n">
        <v>7028</v>
      </c>
      <c r="B29" s="0" t="n">
        <v>3002</v>
      </c>
      <c r="C29" s="0" t="s">
        <v>13</v>
      </c>
      <c r="D29" s="3" t="n">
        <v>45815</v>
      </c>
      <c r="E29" s="4" t="n">
        <v>9000000</v>
      </c>
      <c r="F29" s="4" t="n">
        <v>3400000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n">
        <v>7029</v>
      </c>
      <c r="B30" s="0" t="n">
        <v>3049</v>
      </c>
      <c r="C30" s="0" t="s">
        <v>15</v>
      </c>
      <c r="D30" s="3" t="n">
        <v>45953</v>
      </c>
      <c r="E30" s="4" t="n">
        <v>17000000</v>
      </c>
      <c r="F30" s="4" t="n">
        <v>10500000</v>
      </c>
      <c r="G30" s="0" t="n">
        <v>39</v>
      </c>
      <c r="H30" s="0" t="n">
        <v>9</v>
      </c>
    </row>
    <row r="31" customFormat="false" ht="15" hidden="false" customHeight="false" outlineLevel="0" collapsed="false">
      <c r="A31" s="0" t="n">
        <v>7030</v>
      </c>
      <c r="B31" s="0" t="n">
        <v>3031</v>
      </c>
      <c r="C31" s="0" t="s">
        <v>16</v>
      </c>
      <c r="D31" s="3" t="n">
        <v>45760</v>
      </c>
      <c r="E31" s="4" t="n">
        <v>56000000</v>
      </c>
      <c r="F31" s="4" t="n">
        <v>31400000</v>
      </c>
      <c r="G31" s="0" t="n">
        <v>7</v>
      </c>
      <c r="H31" s="0" t="n">
        <v>0</v>
      </c>
    </row>
    <row r="32" customFormat="false" ht="15" hidden="false" customHeight="false" outlineLevel="0" collapsed="false">
      <c r="A32" s="0" t="n">
        <v>7031</v>
      </c>
      <c r="B32" s="0" t="n">
        <v>3030</v>
      </c>
      <c r="C32" s="0" t="s">
        <v>14</v>
      </c>
      <c r="D32" s="3" t="n">
        <v>45491</v>
      </c>
      <c r="E32" s="4" t="n">
        <v>41000000</v>
      </c>
      <c r="F32" s="4" t="n">
        <v>24300000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7032</v>
      </c>
      <c r="B33" s="0" t="n">
        <v>3025</v>
      </c>
      <c r="C33" s="0" t="s">
        <v>16</v>
      </c>
      <c r="D33" s="3" t="n">
        <v>46075</v>
      </c>
      <c r="E33" s="4" t="n">
        <v>186000000</v>
      </c>
      <c r="F33" s="4" t="n">
        <v>156500000</v>
      </c>
      <c r="G33" s="0" t="n">
        <v>0</v>
      </c>
      <c r="H33" s="0" t="n">
        <v>17</v>
      </c>
    </row>
    <row r="34" customFormat="false" ht="15" hidden="false" customHeight="false" outlineLevel="0" collapsed="false">
      <c r="A34" s="0" t="n">
        <v>7033</v>
      </c>
      <c r="B34" s="0" t="n">
        <v>3025</v>
      </c>
      <c r="C34" s="0" t="s">
        <v>14</v>
      </c>
      <c r="D34" s="3" t="n">
        <v>45606</v>
      </c>
      <c r="E34" s="4" t="n">
        <v>21000000</v>
      </c>
      <c r="F34" s="4" t="n">
        <v>18800000</v>
      </c>
      <c r="G34" s="0" t="n">
        <v>0</v>
      </c>
      <c r="H34" s="0" t="n">
        <v>92</v>
      </c>
    </row>
    <row r="35" customFormat="false" ht="15" hidden="false" customHeight="false" outlineLevel="0" collapsed="false">
      <c r="A35" s="0" t="n">
        <v>7034</v>
      </c>
      <c r="B35" s="0" t="n">
        <v>3007</v>
      </c>
      <c r="C35" s="0" t="s">
        <v>14</v>
      </c>
      <c r="D35" s="3" t="n">
        <v>45678</v>
      </c>
      <c r="E35" s="4" t="n">
        <v>49000000</v>
      </c>
      <c r="F35" s="4" t="n">
        <v>37600000</v>
      </c>
      <c r="G35" s="0" t="n">
        <v>426</v>
      </c>
      <c r="H35" s="0" t="n">
        <v>396</v>
      </c>
    </row>
    <row r="36" customFormat="false" ht="15" hidden="false" customHeight="false" outlineLevel="0" collapsed="false">
      <c r="A36" s="0" t="n">
        <v>7035</v>
      </c>
      <c r="B36" s="0" t="n">
        <v>3016</v>
      </c>
      <c r="C36" s="0" t="s">
        <v>15</v>
      </c>
      <c r="D36" s="3" t="n">
        <v>45698</v>
      </c>
      <c r="E36" s="4" t="n">
        <v>30000000</v>
      </c>
      <c r="F36" s="4" t="n">
        <v>17200000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7036</v>
      </c>
      <c r="B37" s="0" t="n">
        <v>3011</v>
      </c>
      <c r="C37" s="0" t="s">
        <v>14</v>
      </c>
      <c r="D37" s="3" t="n">
        <v>46000</v>
      </c>
      <c r="E37" s="4" t="n">
        <v>16000000</v>
      </c>
      <c r="F37" s="4" t="n">
        <v>9600000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7037</v>
      </c>
      <c r="B38" s="0" t="n">
        <v>3032</v>
      </c>
      <c r="C38" s="0" t="s">
        <v>14</v>
      </c>
      <c r="D38" s="3" t="n">
        <v>45848</v>
      </c>
      <c r="E38" s="4" t="n">
        <v>32000000</v>
      </c>
      <c r="F38" s="4" t="n">
        <v>13100000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n">
        <v>7038</v>
      </c>
      <c r="B39" s="0" t="n">
        <v>3009</v>
      </c>
      <c r="C39" s="0" t="s">
        <v>14</v>
      </c>
      <c r="D39" s="3" t="n">
        <v>45611</v>
      </c>
      <c r="E39" s="4" t="n">
        <v>45000000</v>
      </c>
      <c r="F39" s="4" t="n">
        <v>37900000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n">
        <v>7039</v>
      </c>
      <c r="B40" s="0" t="n">
        <v>3052</v>
      </c>
      <c r="C40" s="0" t="s">
        <v>13</v>
      </c>
      <c r="D40" s="3" t="n">
        <v>45953</v>
      </c>
      <c r="E40" s="4" t="n">
        <v>11000000</v>
      </c>
      <c r="F40" s="4" t="n">
        <v>4200000</v>
      </c>
      <c r="G40" s="0" t="n">
        <v>121</v>
      </c>
      <c r="H40" s="0" t="n">
        <v>91</v>
      </c>
    </row>
    <row r="41" customFormat="false" ht="15" hidden="false" customHeight="false" outlineLevel="0" collapsed="false">
      <c r="A41" s="0" t="n">
        <v>7040</v>
      </c>
      <c r="B41" s="0" t="n">
        <v>3066</v>
      </c>
      <c r="C41" s="0" t="s">
        <v>13</v>
      </c>
      <c r="D41" s="3" t="n">
        <v>46078</v>
      </c>
      <c r="E41" s="4" t="n">
        <v>7000000</v>
      </c>
      <c r="F41" s="4" t="n">
        <v>6100000</v>
      </c>
      <c r="G41" s="0" t="n">
        <v>91</v>
      </c>
      <c r="H41" s="0" t="n">
        <v>61</v>
      </c>
    </row>
    <row r="42" customFormat="false" ht="15" hidden="false" customHeight="false" outlineLevel="0" collapsed="false">
      <c r="A42" s="0" t="n">
        <v>7041</v>
      </c>
      <c r="B42" s="0" t="n">
        <v>3005</v>
      </c>
      <c r="C42" s="0" t="s">
        <v>15</v>
      </c>
      <c r="D42" s="3" t="n">
        <v>45526</v>
      </c>
      <c r="E42" s="4" t="n">
        <v>16000000</v>
      </c>
      <c r="F42" s="4" t="n">
        <v>11400000</v>
      </c>
      <c r="G42" s="0" t="n">
        <v>0</v>
      </c>
      <c r="H42" s="0" t="n">
        <v>62</v>
      </c>
    </row>
    <row r="43" customFormat="false" ht="15" hidden="false" customHeight="false" outlineLevel="0" collapsed="false">
      <c r="A43" s="0" t="n">
        <v>7042</v>
      </c>
      <c r="B43" s="0" t="n">
        <v>3050</v>
      </c>
      <c r="C43" s="0" t="s">
        <v>16</v>
      </c>
      <c r="D43" s="3" t="n">
        <v>45493</v>
      </c>
      <c r="E43" s="4" t="n">
        <v>196000000</v>
      </c>
      <c r="F43" s="4" t="n">
        <v>84700000</v>
      </c>
      <c r="G43" s="0" t="n">
        <v>57</v>
      </c>
      <c r="H43" s="0" t="n">
        <v>27</v>
      </c>
    </row>
    <row r="44" customFormat="false" ht="15" hidden="false" customHeight="false" outlineLevel="0" collapsed="false">
      <c r="A44" s="0" t="n">
        <v>7043</v>
      </c>
      <c r="B44" s="0" t="n">
        <v>3054</v>
      </c>
      <c r="C44" s="0" t="s">
        <v>16</v>
      </c>
      <c r="D44" s="3" t="n">
        <v>45726</v>
      </c>
      <c r="E44" s="4" t="n">
        <v>20000000</v>
      </c>
      <c r="F44" s="4" t="n">
        <v>16800000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n">
        <v>7044</v>
      </c>
      <c r="B45" s="0" t="n">
        <v>3029</v>
      </c>
      <c r="C45" s="0" t="s">
        <v>15</v>
      </c>
      <c r="D45" s="3" t="n">
        <v>45878</v>
      </c>
      <c r="E45" s="4" t="n">
        <v>18000000</v>
      </c>
      <c r="F45" s="4" t="n">
        <v>16900000</v>
      </c>
      <c r="G45" s="0" t="n">
        <v>17</v>
      </c>
      <c r="H45" s="0" t="n">
        <v>0</v>
      </c>
    </row>
    <row r="46" customFormat="false" ht="15" hidden="false" customHeight="false" outlineLevel="0" collapsed="false">
      <c r="A46" s="0" t="n">
        <v>7045</v>
      </c>
      <c r="B46" s="0" t="n">
        <v>3006</v>
      </c>
      <c r="C46" s="0" t="s">
        <v>13</v>
      </c>
      <c r="D46" s="3" t="n">
        <v>45587</v>
      </c>
      <c r="E46" s="4" t="n">
        <v>18000000</v>
      </c>
      <c r="F46" s="4" t="n">
        <v>15500000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7046</v>
      </c>
      <c r="B47" s="0" t="n">
        <v>3012</v>
      </c>
      <c r="C47" s="0" t="s">
        <v>13</v>
      </c>
      <c r="D47" s="3" t="n">
        <v>45608</v>
      </c>
      <c r="E47" s="4" t="n">
        <v>36000000</v>
      </c>
      <c r="F47" s="4" t="n">
        <v>24200000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n">
        <v>7047</v>
      </c>
      <c r="B48" s="0" t="n">
        <v>3029</v>
      </c>
      <c r="C48" s="0" t="s">
        <v>13</v>
      </c>
      <c r="D48" s="3" t="n">
        <v>46126</v>
      </c>
      <c r="E48" s="4" t="n">
        <v>24000000</v>
      </c>
      <c r="F48" s="4" t="n">
        <v>15900000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7048</v>
      </c>
      <c r="B49" s="0" t="n">
        <v>3005</v>
      </c>
      <c r="C49" s="0" t="s">
        <v>13</v>
      </c>
      <c r="D49" s="3" t="n">
        <v>45784</v>
      </c>
      <c r="E49" s="4" t="n">
        <v>26000000</v>
      </c>
      <c r="F49" s="4" t="n">
        <v>18900000</v>
      </c>
      <c r="G49" s="0" t="n">
        <v>360</v>
      </c>
      <c r="H49" s="0" t="n">
        <v>330</v>
      </c>
    </row>
    <row r="50" customFormat="false" ht="15" hidden="false" customHeight="false" outlineLevel="0" collapsed="false">
      <c r="A50" s="0" t="n">
        <v>7049</v>
      </c>
      <c r="B50" s="0" t="n">
        <v>3038</v>
      </c>
      <c r="C50" s="0" t="s">
        <v>13</v>
      </c>
      <c r="D50" s="3" t="n">
        <v>45968</v>
      </c>
      <c r="E50" s="4" t="n">
        <v>46000000</v>
      </c>
      <c r="F50" s="4" t="n">
        <v>25700000</v>
      </c>
      <c r="G50" s="0" t="n">
        <v>0</v>
      </c>
      <c r="H50" s="0" t="n">
        <v>43</v>
      </c>
    </row>
    <row r="51" customFormat="false" ht="15" hidden="false" customHeight="false" outlineLevel="0" collapsed="false">
      <c r="A51" s="0" t="n">
        <v>7050</v>
      </c>
      <c r="B51" s="0" t="n">
        <v>3070</v>
      </c>
      <c r="C51" s="0" t="s">
        <v>15</v>
      </c>
      <c r="D51" s="3" t="n">
        <v>45811</v>
      </c>
      <c r="E51" s="4" t="n">
        <v>10000000</v>
      </c>
      <c r="F51" s="4" t="n">
        <v>7600000</v>
      </c>
      <c r="G51" s="0" t="n">
        <v>361</v>
      </c>
      <c r="H51" s="0" t="n">
        <v>331</v>
      </c>
    </row>
    <row r="52" customFormat="false" ht="15" hidden="false" customHeight="false" outlineLevel="0" collapsed="false">
      <c r="A52" s="0" t="n">
        <v>7051</v>
      </c>
      <c r="B52" s="0" t="n">
        <v>3025</v>
      </c>
      <c r="C52" s="0" t="s">
        <v>16</v>
      </c>
      <c r="D52" s="3" t="n">
        <v>45975</v>
      </c>
      <c r="E52" s="4" t="n">
        <v>107000000</v>
      </c>
      <c r="F52" s="4" t="n">
        <v>76400000</v>
      </c>
      <c r="G52" s="0" t="n">
        <v>180</v>
      </c>
      <c r="H52" s="0" t="n">
        <v>150</v>
      </c>
    </row>
    <row r="53" customFormat="false" ht="15" hidden="false" customHeight="false" outlineLevel="0" collapsed="false">
      <c r="A53" s="0" t="n">
        <v>7052</v>
      </c>
      <c r="B53" s="0" t="n">
        <v>3068</v>
      </c>
      <c r="C53" s="0" t="s">
        <v>13</v>
      </c>
      <c r="D53" s="3" t="n">
        <v>45560</v>
      </c>
      <c r="E53" s="4" t="n">
        <v>41000000</v>
      </c>
      <c r="F53" s="4" t="n">
        <v>39400000</v>
      </c>
      <c r="G53" s="0" t="n">
        <v>40</v>
      </c>
      <c r="H53" s="0" t="n">
        <v>10</v>
      </c>
    </row>
    <row r="54" customFormat="false" ht="15" hidden="false" customHeight="false" outlineLevel="0" collapsed="false">
      <c r="A54" s="0" t="n">
        <v>7053</v>
      </c>
      <c r="B54" s="0" t="n">
        <v>3003</v>
      </c>
      <c r="C54" s="0" t="s">
        <v>14</v>
      </c>
      <c r="D54" s="3" t="n">
        <v>45712</v>
      </c>
      <c r="E54" s="4" t="n">
        <v>20000000</v>
      </c>
      <c r="F54" s="4" t="n">
        <v>17200000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7054</v>
      </c>
      <c r="B55" s="0" t="n">
        <v>3016</v>
      </c>
      <c r="C55" s="0" t="s">
        <v>13</v>
      </c>
      <c r="D55" s="3" t="n">
        <v>45737</v>
      </c>
      <c r="E55" s="4" t="n">
        <v>32000000</v>
      </c>
      <c r="F55" s="4" t="n">
        <v>23600000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7055</v>
      </c>
      <c r="B56" s="0" t="n">
        <v>3015</v>
      </c>
      <c r="C56" s="0" t="s">
        <v>14</v>
      </c>
      <c r="D56" s="3" t="n">
        <v>45455</v>
      </c>
      <c r="E56" s="4" t="n">
        <v>16000000</v>
      </c>
      <c r="F56" s="4" t="n">
        <v>5700000</v>
      </c>
      <c r="G56" s="0" t="n">
        <v>0</v>
      </c>
      <c r="H56" s="0" t="n">
        <v>47</v>
      </c>
    </row>
    <row r="57" customFormat="false" ht="15" hidden="false" customHeight="false" outlineLevel="0" collapsed="false">
      <c r="A57" s="0" t="n">
        <v>7056</v>
      </c>
      <c r="B57" s="0" t="n">
        <v>3007</v>
      </c>
      <c r="C57" s="0" t="s">
        <v>13</v>
      </c>
      <c r="D57" s="3" t="n">
        <v>45801</v>
      </c>
      <c r="E57" s="4" t="n">
        <v>42000000</v>
      </c>
      <c r="F57" s="4" t="n">
        <v>34800000</v>
      </c>
      <c r="G57" s="0" t="n">
        <v>120</v>
      </c>
      <c r="H57" s="0" t="n">
        <v>90</v>
      </c>
    </row>
    <row r="58" customFormat="false" ht="15" hidden="false" customHeight="false" outlineLevel="0" collapsed="false">
      <c r="A58" s="0" t="n">
        <v>7057</v>
      </c>
      <c r="B58" s="0" t="n">
        <v>3019</v>
      </c>
      <c r="C58" s="0" t="s">
        <v>13</v>
      </c>
      <c r="D58" s="3" t="n">
        <v>45972</v>
      </c>
      <c r="E58" s="4" t="n">
        <v>16000000</v>
      </c>
      <c r="F58" s="4" t="n">
        <v>8900000</v>
      </c>
      <c r="G58" s="0" t="n">
        <v>34</v>
      </c>
      <c r="H58" s="0" t="n">
        <v>4</v>
      </c>
    </row>
    <row r="59" customFormat="false" ht="15" hidden="false" customHeight="false" outlineLevel="0" collapsed="false">
      <c r="A59" s="0" t="n">
        <v>7058</v>
      </c>
      <c r="B59" s="0" t="n">
        <v>3043</v>
      </c>
      <c r="C59" s="0" t="s">
        <v>14</v>
      </c>
      <c r="D59" s="3" t="n">
        <v>45905</v>
      </c>
      <c r="E59" s="4" t="n">
        <v>49000000</v>
      </c>
      <c r="F59" s="4" t="n">
        <v>23300000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n">
        <v>7059</v>
      </c>
      <c r="B60" s="0" t="n">
        <v>3044</v>
      </c>
      <c r="C60" s="0" t="s">
        <v>14</v>
      </c>
      <c r="D60" s="3" t="n">
        <v>46196</v>
      </c>
      <c r="E60" s="4" t="n">
        <v>22000000</v>
      </c>
      <c r="F60" s="4" t="n">
        <v>7800000</v>
      </c>
      <c r="G60" s="0" t="n">
        <v>0</v>
      </c>
      <c r="H60" s="0" t="n">
        <v>0</v>
      </c>
    </row>
    <row r="61" customFormat="false" ht="15" hidden="false" customHeight="false" outlineLevel="0" collapsed="false">
      <c r="A61" s="0" t="n">
        <v>7060</v>
      </c>
      <c r="B61" s="0" t="n">
        <v>3069</v>
      </c>
      <c r="C61" s="0" t="s">
        <v>14</v>
      </c>
      <c r="D61" s="3" t="n">
        <v>46098</v>
      </c>
      <c r="E61" s="4" t="n">
        <v>20000000</v>
      </c>
      <c r="F61" s="4" t="n">
        <v>9600000</v>
      </c>
      <c r="G61" s="0" t="n">
        <v>67</v>
      </c>
      <c r="H61" s="0" t="n">
        <v>37</v>
      </c>
    </row>
    <row r="62" customFormat="false" ht="15" hidden="false" customHeight="false" outlineLevel="0" collapsed="false">
      <c r="A62" s="0" t="n">
        <v>7061</v>
      </c>
      <c r="B62" s="0" t="n">
        <v>3036</v>
      </c>
      <c r="C62" s="0" t="s">
        <v>15</v>
      </c>
      <c r="D62" s="3" t="n">
        <v>46125</v>
      </c>
      <c r="E62" s="4" t="n">
        <v>28000000</v>
      </c>
      <c r="F62" s="4" t="n">
        <v>20400000</v>
      </c>
      <c r="G62" s="0" t="n">
        <v>2</v>
      </c>
      <c r="H62" s="0" t="n">
        <v>0</v>
      </c>
    </row>
    <row r="63" customFormat="false" ht="15" hidden="false" customHeight="false" outlineLevel="0" collapsed="false">
      <c r="A63" s="0" t="n">
        <v>7062</v>
      </c>
      <c r="B63" s="0" t="n">
        <v>3035</v>
      </c>
      <c r="C63" s="0" t="s">
        <v>15</v>
      </c>
      <c r="D63" s="3" t="n">
        <v>45635</v>
      </c>
      <c r="E63" s="4" t="n">
        <v>5000000</v>
      </c>
      <c r="F63" s="4" t="n">
        <v>2900000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n">
        <v>7063</v>
      </c>
      <c r="B64" s="0" t="n">
        <v>3038</v>
      </c>
      <c r="C64" s="0" t="s">
        <v>16</v>
      </c>
      <c r="D64" s="3" t="n">
        <v>45708</v>
      </c>
      <c r="E64" s="4" t="n">
        <v>187000000</v>
      </c>
      <c r="F64" s="4" t="n">
        <v>77500000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n">
        <v>7064</v>
      </c>
      <c r="B65" s="0" t="n">
        <v>3017</v>
      </c>
      <c r="C65" s="0" t="s">
        <v>13</v>
      </c>
      <c r="D65" s="3" t="n">
        <v>45883</v>
      </c>
      <c r="E65" s="4" t="n">
        <v>50000000</v>
      </c>
      <c r="F65" s="4" t="n">
        <v>33100000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0" t="n">
        <v>7065</v>
      </c>
      <c r="B66" s="0" t="n">
        <v>3051</v>
      </c>
      <c r="C66" s="0" t="s">
        <v>14</v>
      </c>
      <c r="D66" s="3" t="n">
        <v>45931</v>
      </c>
      <c r="E66" s="4" t="n">
        <v>31000000</v>
      </c>
      <c r="F66" s="4" t="n">
        <v>12600000</v>
      </c>
      <c r="G66" s="0" t="n">
        <v>0</v>
      </c>
      <c r="H66" s="0" t="n">
        <v>48</v>
      </c>
    </row>
    <row r="67" customFormat="false" ht="15" hidden="false" customHeight="false" outlineLevel="0" collapsed="false">
      <c r="A67" s="0" t="n">
        <v>7066</v>
      </c>
      <c r="B67" s="0" t="n">
        <v>3038</v>
      </c>
      <c r="C67" s="0" t="s">
        <v>16</v>
      </c>
      <c r="D67" s="3" t="n">
        <v>45841</v>
      </c>
      <c r="E67" s="4" t="n">
        <v>111000000</v>
      </c>
      <c r="F67" s="4" t="n">
        <v>71900000</v>
      </c>
      <c r="G67" s="0" t="n">
        <v>22</v>
      </c>
      <c r="H67" s="0" t="n">
        <v>0</v>
      </c>
    </row>
    <row r="68" customFormat="false" ht="15" hidden="false" customHeight="false" outlineLevel="0" collapsed="false">
      <c r="A68" s="0" t="n">
        <v>7067</v>
      </c>
      <c r="B68" s="0" t="n">
        <v>3013</v>
      </c>
      <c r="C68" s="0" t="s">
        <v>16</v>
      </c>
      <c r="D68" s="3" t="n">
        <v>45632</v>
      </c>
      <c r="E68" s="4" t="n">
        <v>192000000</v>
      </c>
      <c r="F68" s="4" t="n">
        <v>126600000</v>
      </c>
      <c r="G68" s="0" t="n">
        <v>0</v>
      </c>
      <c r="H68" s="0" t="n">
        <v>0</v>
      </c>
    </row>
    <row r="69" customFormat="false" ht="15" hidden="false" customHeight="false" outlineLevel="0" collapsed="false">
      <c r="A69" s="0" t="n">
        <v>7068</v>
      </c>
      <c r="B69" s="0" t="n">
        <v>3039</v>
      </c>
      <c r="C69" s="0" t="s">
        <v>15</v>
      </c>
      <c r="D69" s="3" t="n">
        <v>45533</v>
      </c>
      <c r="E69" s="4" t="n">
        <v>16000000</v>
      </c>
      <c r="F69" s="4" t="n">
        <v>13500000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0" t="n">
        <v>7069</v>
      </c>
      <c r="B70" s="0" t="n">
        <v>3005</v>
      </c>
      <c r="C70" s="0" t="s">
        <v>16</v>
      </c>
      <c r="D70" s="3" t="n">
        <v>45778</v>
      </c>
      <c r="E70" s="4" t="n">
        <v>120000000</v>
      </c>
      <c r="F70" s="4" t="n">
        <v>99700000</v>
      </c>
      <c r="G70" s="0" t="n">
        <v>0</v>
      </c>
      <c r="H70" s="0" t="n">
        <v>0</v>
      </c>
    </row>
    <row r="71" customFormat="false" ht="15" hidden="false" customHeight="false" outlineLevel="0" collapsed="false">
      <c r="A71" s="0" t="n">
        <v>7070</v>
      </c>
      <c r="B71" s="0" t="n">
        <v>3030</v>
      </c>
      <c r="C71" s="0" t="s">
        <v>14</v>
      </c>
      <c r="D71" s="3" t="n">
        <v>45559</v>
      </c>
      <c r="E71" s="4" t="n">
        <v>33000000</v>
      </c>
      <c r="F71" s="4" t="n">
        <v>22500000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n">
        <v>7071</v>
      </c>
      <c r="B72" s="0" t="n">
        <v>3023</v>
      </c>
      <c r="C72" s="0" t="s">
        <v>15</v>
      </c>
      <c r="D72" s="3" t="n">
        <v>46093</v>
      </c>
      <c r="E72" s="4" t="n">
        <v>26000000</v>
      </c>
      <c r="F72" s="4" t="n">
        <v>21400000</v>
      </c>
      <c r="G72" s="0" t="n">
        <v>90</v>
      </c>
      <c r="H72" s="0" t="n">
        <v>60</v>
      </c>
    </row>
    <row r="73" customFormat="false" ht="15" hidden="false" customHeight="false" outlineLevel="0" collapsed="false">
      <c r="A73" s="0" t="n">
        <v>7072</v>
      </c>
      <c r="B73" s="0" t="n">
        <v>3048</v>
      </c>
      <c r="C73" s="0" t="s">
        <v>14</v>
      </c>
      <c r="D73" s="3" t="n">
        <v>45445</v>
      </c>
      <c r="E73" s="4" t="n">
        <v>16000000</v>
      </c>
      <c r="F73" s="4" t="n">
        <v>13600000</v>
      </c>
      <c r="G73" s="0" t="n">
        <v>9</v>
      </c>
      <c r="H73" s="0" t="n">
        <v>0</v>
      </c>
    </row>
    <row r="74" customFormat="false" ht="15" hidden="false" customHeight="false" outlineLevel="0" collapsed="false">
      <c r="A74" s="0" t="n">
        <v>7073</v>
      </c>
      <c r="B74" s="0" t="n">
        <v>3059</v>
      </c>
      <c r="C74" s="0" t="s">
        <v>16</v>
      </c>
      <c r="D74" s="3" t="n">
        <v>45502</v>
      </c>
      <c r="E74" s="4" t="n">
        <v>172000000</v>
      </c>
      <c r="F74" s="4" t="n">
        <v>105000000</v>
      </c>
      <c r="G74" s="0" t="n">
        <v>0</v>
      </c>
      <c r="H74" s="0" t="n">
        <v>0</v>
      </c>
    </row>
    <row r="75" customFormat="false" ht="15" hidden="false" customHeight="false" outlineLevel="0" collapsed="false">
      <c r="A75" s="0" t="n">
        <v>7074</v>
      </c>
      <c r="B75" s="0" t="n">
        <v>3027</v>
      </c>
      <c r="C75" s="0" t="s">
        <v>13</v>
      </c>
      <c r="D75" s="3" t="n">
        <v>45601</v>
      </c>
      <c r="E75" s="4" t="n">
        <v>21000000</v>
      </c>
      <c r="F75" s="4" t="n">
        <v>20000000</v>
      </c>
      <c r="G75" s="0" t="n">
        <v>0</v>
      </c>
      <c r="H75" s="0" t="n">
        <v>0</v>
      </c>
    </row>
    <row r="76" customFormat="false" ht="15" hidden="false" customHeight="false" outlineLevel="0" collapsed="false">
      <c r="A76" s="0" t="n">
        <v>7075</v>
      </c>
      <c r="B76" s="0" t="n">
        <v>3002</v>
      </c>
      <c r="C76" s="0" t="s">
        <v>13</v>
      </c>
      <c r="D76" s="3" t="n">
        <v>46011</v>
      </c>
      <c r="E76" s="4" t="n">
        <v>15000000</v>
      </c>
      <c r="F76" s="4" t="n">
        <v>12400000</v>
      </c>
      <c r="G76" s="0" t="n">
        <v>211</v>
      </c>
      <c r="H76" s="0" t="n">
        <v>181</v>
      </c>
    </row>
    <row r="77" customFormat="false" ht="15" hidden="false" customHeight="false" outlineLevel="0" collapsed="false">
      <c r="A77" s="0" t="n">
        <v>7076</v>
      </c>
      <c r="B77" s="0" t="n">
        <v>3028</v>
      </c>
      <c r="C77" s="0" t="s">
        <v>13</v>
      </c>
      <c r="D77" s="3" t="n">
        <v>46074</v>
      </c>
      <c r="E77" s="4" t="n">
        <v>36000000</v>
      </c>
      <c r="F77" s="4" t="n">
        <v>33200000</v>
      </c>
      <c r="G77" s="0" t="n">
        <v>61</v>
      </c>
      <c r="H77" s="0" t="n">
        <v>31</v>
      </c>
    </row>
    <row r="78" customFormat="false" ht="15" hidden="false" customHeight="false" outlineLevel="0" collapsed="false">
      <c r="A78" s="0" t="n">
        <v>7077</v>
      </c>
      <c r="B78" s="0" t="n">
        <v>3001</v>
      </c>
      <c r="C78" s="0" t="s">
        <v>14</v>
      </c>
      <c r="D78" s="3" t="n">
        <v>45643</v>
      </c>
      <c r="E78" s="4" t="n">
        <v>25000000</v>
      </c>
      <c r="F78" s="4" t="n">
        <v>9000000</v>
      </c>
      <c r="G78" s="0" t="n">
        <v>23</v>
      </c>
      <c r="H78" s="0" t="n">
        <v>0</v>
      </c>
    </row>
    <row r="79" customFormat="false" ht="15" hidden="false" customHeight="false" outlineLevel="0" collapsed="false">
      <c r="A79" s="0" t="n">
        <v>7078</v>
      </c>
      <c r="B79" s="0" t="n">
        <v>3009</v>
      </c>
      <c r="C79" s="0" t="s">
        <v>15</v>
      </c>
      <c r="D79" s="3" t="n">
        <v>45856</v>
      </c>
      <c r="E79" s="4" t="n">
        <v>10000000</v>
      </c>
      <c r="F79" s="4" t="n">
        <v>5700000</v>
      </c>
      <c r="G79" s="0" t="n">
        <v>4</v>
      </c>
      <c r="H79" s="0" t="n">
        <v>0</v>
      </c>
    </row>
    <row r="80" customFormat="false" ht="15" hidden="false" customHeight="false" outlineLevel="0" collapsed="false">
      <c r="A80" s="0" t="n">
        <v>7079</v>
      </c>
      <c r="B80" s="0" t="n">
        <v>3028</v>
      </c>
      <c r="C80" s="0" t="s">
        <v>16</v>
      </c>
      <c r="D80" s="3" t="n">
        <v>45749</v>
      </c>
      <c r="E80" s="4" t="n">
        <v>145000000</v>
      </c>
      <c r="F80" s="4" t="n">
        <v>94500000</v>
      </c>
      <c r="G80" s="0" t="n">
        <v>0</v>
      </c>
      <c r="H80" s="0" t="n">
        <v>0</v>
      </c>
    </row>
    <row r="81" customFormat="false" ht="15" hidden="false" customHeight="false" outlineLevel="0" collapsed="false">
      <c r="A81" s="0" t="n">
        <v>7080</v>
      </c>
      <c r="B81" s="0" t="n">
        <v>3020</v>
      </c>
      <c r="C81" s="0" t="s">
        <v>14</v>
      </c>
      <c r="D81" s="3" t="n">
        <v>46132</v>
      </c>
      <c r="E81" s="4" t="n">
        <v>37000000</v>
      </c>
      <c r="F81" s="4" t="n">
        <v>28000000</v>
      </c>
      <c r="G81" s="0" t="n">
        <v>0</v>
      </c>
      <c r="H81" s="0" t="n">
        <v>0</v>
      </c>
    </row>
    <row r="82" customFormat="false" ht="15" hidden="false" customHeight="false" outlineLevel="0" collapsed="false">
      <c r="A82" s="0" t="n">
        <v>7081</v>
      </c>
      <c r="B82" s="0" t="n">
        <v>3005</v>
      </c>
      <c r="C82" s="0" t="s">
        <v>15</v>
      </c>
      <c r="D82" s="3" t="n">
        <v>46044</v>
      </c>
      <c r="E82" s="4" t="n">
        <v>29000000</v>
      </c>
      <c r="F82" s="4" t="n">
        <v>21800000</v>
      </c>
      <c r="G82" s="0" t="n">
        <v>0</v>
      </c>
      <c r="H82" s="0" t="n">
        <v>0</v>
      </c>
    </row>
    <row r="83" customFormat="false" ht="15" hidden="false" customHeight="false" outlineLevel="0" collapsed="false">
      <c r="A83" s="0" t="n">
        <v>7082</v>
      </c>
      <c r="B83" s="0" t="n">
        <v>3005</v>
      </c>
      <c r="C83" s="0" t="s">
        <v>16</v>
      </c>
      <c r="D83" s="3" t="n">
        <v>46191</v>
      </c>
      <c r="E83" s="4" t="n">
        <v>178000000</v>
      </c>
      <c r="F83" s="4" t="n">
        <v>107500000</v>
      </c>
      <c r="G83" s="0" t="n">
        <v>0</v>
      </c>
      <c r="H83" s="0" t="n">
        <v>0</v>
      </c>
    </row>
    <row r="84" customFormat="false" ht="15" hidden="false" customHeight="false" outlineLevel="0" collapsed="false">
      <c r="A84" s="0" t="n">
        <v>7083</v>
      </c>
      <c r="B84" s="0" t="n">
        <v>3031</v>
      </c>
      <c r="C84" s="0" t="s">
        <v>16</v>
      </c>
      <c r="D84" s="3" t="n">
        <v>46042</v>
      </c>
      <c r="E84" s="4" t="n">
        <v>40000000</v>
      </c>
      <c r="F84" s="4" t="n">
        <v>25700000</v>
      </c>
      <c r="G84" s="0" t="n">
        <v>0</v>
      </c>
      <c r="H84" s="0" t="n">
        <v>83</v>
      </c>
    </row>
    <row r="85" customFormat="false" ht="15" hidden="false" customHeight="false" outlineLevel="0" collapsed="false">
      <c r="A85" s="0" t="n">
        <v>7084</v>
      </c>
      <c r="B85" s="0" t="n">
        <v>3058</v>
      </c>
      <c r="C85" s="0" t="s">
        <v>14</v>
      </c>
      <c r="D85" s="3" t="n">
        <v>46019</v>
      </c>
      <c r="E85" s="4" t="n">
        <v>55000000</v>
      </c>
      <c r="F85" s="4" t="n">
        <v>51000000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0" t="n">
        <v>7085</v>
      </c>
      <c r="B86" s="0" t="n">
        <v>3035</v>
      </c>
      <c r="C86" s="0" t="s">
        <v>15</v>
      </c>
      <c r="D86" s="3" t="n">
        <v>45506</v>
      </c>
      <c r="E86" s="4" t="n">
        <v>16000000</v>
      </c>
      <c r="F86" s="4" t="n">
        <v>12500000</v>
      </c>
      <c r="G86" s="0" t="n">
        <v>0</v>
      </c>
      <c r="H86" s="0" t="n">
        <v>0</v>
      </c>
    </row>
    <row r="87" customFormat="false" ht="15" hidden="false" customHeight="false" outlineLevel="0" collapsed="false">
      <c r="A87" s="0" t="n">
        <v>7086</v>
      </c>
      <c r="B87" s="0" t="n">
        <v>3041</v>
      </c>
      <c r="C87" s="0" t="s">
        <v>15</v>
      </c>
      <c r="D87" s="3" t="n">
        <v>45969</v>
      </c>
      <c r="E87" s="4" t="n">
        <v>9000000</v>
      </c>
      <c r="F87" s="4" t="n">
        <v>6500000</v>
      </c>
      <c r="G87" s="0" t="n">
        <v>0</v>
      </c>
      <c r="H87" s="0" t="n">
        <v>0</v>
      </c>
    </row>
    <row r="88" customFormat="false" ht="15" hidden="false" customHeight="false" outlineLevel="0" collapsed="false">
      <c r="A88" s="0" t="n">
        <v>7087</v>
      </c>
      <c r="B88" s="0" t="n">
        <v>3032</v>
      </c>
      <c r="C88" s="0" t="s">
        <v>14</v>
      </c>
      <c r="D88" s="3" t="n">
        <v>45811</v>
      </c>
      <c r="E88" s="4" t="n">
        <v>51000000</v>
      </c>
      <c r="F88" s="4" t="n">
        <v>21700000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n">
        <v>7088</v>
      </c>
      <c r="B89" s="0" t="n">
        <v>3055</v>
      </c>
      <c r="C89" s="0" t="s">
        <v>16</v>
      </c>
      <c r="D89" s="3" t="n">
        <v>45765</v>
      </c>
      <c r="E89" s="4" t="n">
        <v>91000000</v>
      </c>
      <c r="F89" s="4" t="n">
        <v>53700000</v>
      </c>
      <c r="G89" s="0" t="n">
        <v>0</v>
      </c>
      <c r="H89" s="0" t="n">
        <v>0</v>
      </c>
    </row>
    <row r="90" customFormat="false" ht="15" hidden="false" customHeight="false" outlineLevel="0" collapsed="false">
      <c r="A90" s="0" t="n">
        <v>7089</v>
      </c>
      <c r="B90" s="0" t="n">
        <v>3021</v>
      </c>
      <c r="C90" s="0" t="s">
        <v>13</v>
      </c>
      <c r="D90" s="3" t="n">
        <v>46058</v>
      </c>
      <c r="E90" s="4" t="n">
        <v>33000000</v>
      </c>
      <c r="F90" s="4" t="n">
        <v>31400000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n">
        <v>7090</v>
      </c>
      <c r="B91" s="0" t="n">
        <v>3036</v>
      </c>
      <c r="C91" s="0" t="s">
        <v>16</v>
      </c>
      <c r="D91" s="3" t="n">
        <v>45743</v>
      </c>
      <c r="E91" s="4" t="n">
        <v>127000000</v>
      </c>
      <c r="F91" s="4" t="n">
        <v>118600000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n">
        <v>7091</v>
      </c>
      <c r="B92" s="0" t="n">
        <v>3016</v>
      </c>
      <c r="C92" s="0" t="s">
        <v>13</v>
      </c>
      <c r="D92" s="3" t="n">
        <v>45574</v>
      </c>
      <c r="E92" s="4" t="n">
        <v>46000000</v>
      </c>
      <c r="F92" s="4" t="n">
        <v>37600000</v>
      </c>
      <c r="G92" s="0" t="n">
        <v>210</v>
      </c>
      <c r="H92" s="0" t="n">
        <v>180</v>
      </c>
    </row>
    <row r="93" customFormat="false" ht="15" hidden="false" customHeight="false" outlineLevel="0" collapsed="false">
      <c r="A93" s="0" t="n">
        <v>7092</v>
      </c>
      <c r="B93" s="0" t="n">
        <v>3018</v>
      </c>
      <c r="C93" s="0" t="s">
        <v>14</v>
      </c>
      <c r="D93" s="3" t="n">
        <v>45470</v>
      </c>
      <c r="E93" s="4" t="n">
        <v>48000000</v>
      </c>
      <c r="F93" s="4" t="n">
        <v>34100000</v>
      </c>
      <c r="G93" s="0" t="n">
        <v>0</v>
      </c>
      <c r="H93" s="0" t="n">
        <v>0</v>
      </c>
    </row>
    <row r="94" customFormat="false" ht="15" hidden="false" customHeight="false" outlineLevel="0" collapsed="false">
      <c r="A94" s="0" t="n">
        <v>7093</v>
      </c>
      <c r="B94" s="0" t="n">
        <v>3026</v>
      </c>
      <c r="C94" s="0" t="s">
        <v>16</v>
      </c>
      <c r="D94" s="3" t="n">
        <v>45957</v>
      </c>
      <c r="E94" s="4" t="n">
        <v>99000000</v>
      </c>
      <c r="F94" s="4" t="n">
        <v>94000000</v>
      </c>
      <c r="G94" s="0" t="n">
        <v>0</v>
      </c>
      <c r="H94" s="0" t="n">
        <v>0</v>
      </c>
    </row>
    <row r="95" customFormat="false" ht="15" hidden="false" customHeight="false" outlineLevel="0" collapsed="false">
      <c r="A95" s="0" t="n">
        <v>7094</v>
      </c>
      <c r="B95" s="0" t="n">
        <v>3062</v>
      </c>
      <c r="C95" s="0" t="s">
        <v>13</v>
      </c>
      <c r="D95" s="3" t="n">
        <v>45525</v>
      </c>
      <c r="E95" s="4" t="n">
        <v>20000000</v>
      </c>
      <c r="F95" s="4" t="n">
        <v>17500000</v>
      </c>
      <c r="G95" s="0" t="n">
        <v>9</v>
      </c>
      <c r="H95" s="0" t="n">
        <v>0</v>
      </c>
    </row>
    <row r="96" customFormat="false" ht="15" hidden="false" customHeight="false" outlineLevel="0" collapsed="false">
      <c r="A96" s="0" t="n">
        <v>7095</v>
      </c>
      <c r="B96" s="0" t="n">
        <v>3008</v>
      </c>
      <c r="C96" s="0" t="s">
        <v>14</v>
      </c>
      <c r="D96" s="3" t="n">
        <v>45581</v>
      </c>
      <c r="E96" s="4" t="n">
        <v>33000000</v>
      </c>
      <c r="F96" s="4" t="n">
        <v>19300000</v>
      </c>
      <c r="G96" s="0" t="n">
        <v>0</v>
      </c>
      <c r="H96" s="0" t="n">
        <v>82</v>
      </c>
    </row>
    <row r="97" customFormat="false" ht="15" hidden="false" customHeight="false" outlineLevel="0" collapsed="false">
      <c r="A97" s="0" t="n">
        <v>7096</v>
      </c>
      <c r="B97" s="0" t="n">
        <v>3009</v>
      </c>
      <c r="C97" s="0" t="s">
        <v>16</v>
      </c>
      <c r="D97" s="3" t="n">
        <v>45979</v>
      </c>
      <c r="E97" s="4" t="n">
        <v>83000000</v>
      </c>
      <c r="F97" s="4" t="n">
        <v>61600000</v>
      </c>
      <c r="G97" s="0" t="n">
        <v>0</v>
      </c>
      <c r="H97" s="0" t="n">
        <v>0</v>
      </c>
    </row>
    <row r="98" customFormat="false" ht="15" hidden="false" customHeight="false" outlineLevel="0" collapsed="false">
      <c r="A98" s="0" t="n">
        <v>7097</v>
      </c>
      <c r="B98" s="0" t="n">
        <v>3032</v>
      </c>
      <c r="C98" s="0" t="s">
        <v>13</v>
      </c>
      <c r="D98" s="3" t="n">
        <v>46009</v>
      </c>
      <c r="E98" s="4" t="n">
        <v>44000000</v>
      </c>
      <c r="F98" s="4" t="n">
        <v>40900000</v>
      </c>
      <c r="G98" s="0" t="n">
        <v>0</v>
      </c>
      <c r="H98" s="0" t="n">
        <v>44</v>
      </c>
    </row>
    <row r="99" customFormat="false" ht="15" hidden="false" customHeight="false" outlineLevel="0" collapsed="false">
      <c r="A99" s="0" t="n">
        <v>7098</v>
      </c>
      <c r="B99" s="0" t="n">
        <v>3007</v>
      </c>
      <c r="C99" s="0" t="s">
        <v>15</v>
      </c>
      <c r="D99" s="3" t="n">
        <v>45694</v>
      </c>
      <c r="E99" s="4" t="n">
        <v>19000000</v>
      </c>
      <c r="F99" s="4" t="n">
        <v>12900000</v>
      </c>
      <c r="G99" s="0" t="n">
        <v>0</v>
      </c>
      <c r="H99" s="0" t="n">
        <v>0</v>
      </c>
    </row>
    <row r="100" customFormat="false" ht="15" hidden="false" customHeight="false" outlineLevel="0" collapsed="false">
      <c r="A100" s="0" t="n">
        <v>7099</v>
      </c>
      <c r="B100" s="0" t="n">
        <v>3008</v>
      </c>
      <c r="C100" s="0" t="s">
        <v>15</v>
      </c>
      <c r="D100" s="3" t="n">
        <v>45592</v>
      </c>
      <c r="E100" s="4" t="n">
        <v>23000000</v>
      </c>
      <c r="F100" s="4" t="n">
        <v>8900000</v>
      </c>
      <c r="G100" s="0" t="n">
        <v>0</v>
      </c>
      <c r="H100" s="0" t="n">
        <v>0</v>
      </c>
    </row>
    <row r="101" customFormat="false" ht="15" hidden="false" customHeight="false" outlineLevel="0" collapsed="false">
      <c r="A101" s="0" t="n">
        <v>7100</v>
      </c>
      <c r="B101" s="0" t="n">
        <v>3012</v>
      </c>
      <c r="C101" s="0" t="s">
        <v>14</v>
      </c>
      <c r="D101" s="3" t="n">
        <v>46046</v>
      </c>
      <c r="E101" s="4" t="n">
        <v>29000000</v>
      </c>
      <c r="F101" s="4" t="n">
        <v>22400000</v>
      </c>
      <c r="G101" s="0" t="n">
        <v>0</v>
      </c>
      <c r="H101" s="0" t="n">
        <v>77</v>
      </c>
    </row>
    <row r="102" customFormat="false" ht="15" hidden="false" customHeight="false" outlineLevel="0" collapsed="false">
      <c r="A102" s="0" t="n">
        <v>7101</v>
      </c>
      <c r="B102" s="0" t="n">
        <v>3053</v>
      </c>
      <c r="C102" s="0" t="s">
        <v>14</v>
      </c>
      <c r="D102" s="3" t="n">
        <v>45856</v>
      </c>
      <c r="E102" s="4" t="n">
        <v>27000000</v>
      </c>
      <c r="F102" s="4" t="n">
        <v>10000000</v>
      </c>
      <c r="G102" s="0" t="n">
        <v>157</v>
      </c>
      <c r="H102" s="0" t="n">
        <v>127</v>
      </c>
    </row>
    <row r="103" customFormat="false" ht="15" hidden="false" customHeight="false" outlineLevel="0" collapsed="false">
      <c r="A103" s="0" t="n">
        <v>7102</v>
      </c>
      <c r="B103" s="0" t="n">
        <v>3006</v>
      </c>
      <c r="C103" s="0" t="s">
        <v>16</v>
      </c>
      <c r="D103" s="3" t="n">
        <v>45826</v>
      </c>
      <c r="E103" s="4" t="n">
        <v>58000000</v>
      </c>
      <c r="F103" s="4" t="n">
        <v>22200000</v>
      </c>
      <c r="G103" s="0" t="n">
        <v>137</v>
      </c>
      <c r="H103" s="0" t="n">
        <v>107</v>
      </c>
    </row>
    <row r="104" customFormat="false" ht="15" hidden="false" customHeight="false" outlineLevel="0" collapsed="false">
      <c r="A104" s="0" t="n">
        <v>7103</v>
      </c>
      <c r="B104" s="0" t="n">
        <v>3011</v>
      </c>
      <c r="C104" s="0" t="s">
        <v>14</v>
      </c>
      <c r="D104" s="3" t="n">
        <v>46111</v>
      </c>
      <c r="E104" s="4" t="n">
        <v>30000000</v>
      </c>
      <c r="F104" s="4" t="n">
        <v>28200000</v>
      </c>
      <c r="G104" s="0" t="n">
        <v>0</v>
      </c>
      <c r="H104" s="0" t="n">
        <v>0</v>
      </c>
    </row>
    <row r="105" customFormat="false" ht="15" hidden="false" customHeight="false" outlineLevel="0" collapsed="false">
      <c r="A105" s="0" t="n">
        <v>7104</v>
      </c>
      <c r="B105" s="0" t="n">
        <v>3042</v>
      </c>
      <c r="C105" s="0" t="s">
        <v>16</v>
      </c>
      <c r="D105" s="3" t="n">
        <v>45681</v>
      </c>
      <c r="E105" s="4" t="n">
        <v>159000000</v>
      </c>
      <c r="F105" s="4" t="n">
        <v>150300000</v>
      </c>
      <c r="G105" s="0" t="n">
        <v>390</v>
      </c>
      <c r="H105" s="0" t="n">
        <v>360</v>
      </c>
    </row>
    <row r="106" customFormat="false" ht="15" hidden="false" customHeight="false" outlineLevel="0" collapsed="false">
      <c r="A106" s="0" t="n">
        <v>7105</v>
      </c>
      <c r="B106" s="0" t="n">
        <v>3047</v>
      </c>
      <c r="C106" s="0" t="s">
        <v>13</v>
      </c>
      <c r="D106" s="3" t="n">
        <v>45664</v>
      </c>
      <c r="E106" s="4" t="n">
        <v>25000000</v>
      </c>
      <c r="F106" s="4" t="n">
        <v>17600000</v>
      </c>
      <c r="G106" s="0" t="n">
        <v>0</v>
      </c>
      <c r="H106" s="0" t="n">
        <v>0</v>
      </c>
    </row>
    <row r="107" customFormat="false" ht="15" hidden="false" customHeight="false" outlineLevel="0" collapsed="false">
      <c r="A107" s="0" t="n">
        <v>7106</v>
      </c>
      <c r="B107" s="0" t="n">
        <v>3003</v>
      </c>
      <c r="C107" s="0" t="s">
        <v>13</v>
      </c>
      <c r="D107" s="3" t="n">
        <v>45495</v>
      </c>
      <c r="E107" s="4" t="n">
        <v>16000000</v>
      </c>
      <c r="F107" s="4" t="n">
        <v>7700000</v>
      </c>
      <c r="G107" s="0" t="n">
        <v>0</v>
      </c>
      <c r="H107" s="0" t="n">
        <v>18</v>
      </c>
    </row>
    <row r="108" customFormat="false" ht="15" hidden="false" customHeight="false" outlineLevel="0" collapsed="false">
      <c r="A108" s="0" t="n">
        <v>7107</v>
      </c>
      <c r="B108" s="0" t="n">
        <v>3014</v>
      </c>
      <c r="C108" s="0" t="s">
        <v>14</v>
      </c>
      <c r="D108" s="3" t="n">
        <v>46214</v>
      </c>
      <c r="E108" s="4" t="n">
        <v>46000000</v>
      </c>
      <c r="F108" s="4" t="n">
        <v>25300000</v>
      </c>
      <c r="G108" s="0" t="n">
        <v>0</v>
      </c>
      <c r="H108" s="0" t="n">
        <v>0</v>
      </c>
    </row>
    <row r="109" customFormat="false" ht="15" hidden="false" customHeight="false" outlineLevel="0" collapsed="false">
      <c r="A109" s="0" t="n">
        <v>7108</v>
      </c>
      <c r="B109" s="0" t="n">
        <v>3010</v>
      </c>
      <c r="C109" s="0" t="s">
        <v>15</v>
      </c>
      <c r="D109" s="3" t="n">
        <v>46116</v>
      </c>
      <c r="E109" s="4" t="n">
        <v>28000000</v>
      </c>
      <c r="F109" s="4" t="n">
        <v>12400000</v>
      </c>
      <c r="G109" s="0" t="n">
        <v>28</v>
      </c>
      <c r="H109" s="0" t="n">
        <v>0</v>
      </c>
    </row>
    <row r="110" customFormat="false" ht="15" hidden="false" customHeight="false" outlineLevel="0" collapsed="false">
      <c r="A110" s="0" t="n">
        <v>7109</v>
      </c>
      <c r="B110" s="0" t="n">
        <v>3033</v>
      </c>
      <c r="C110" s="0" t="s">
        <v>14</v>
      </c>
      <c r="D110" s="3" t="n">
        <v>46182</v>
      </c>
      <c r="E110" s="4" t="n">
        <v>18000000</v>
      </c>
      <c r="F110" s="4" t="n">
        <v>12700000</v>
      </c>
      <c r="G110" s="0" t="n">
        <v>9</v>
      </c>
      <c r="H110" s="0" t="n">
        <v>0</v>
      </c>
    </row>
    <row r="111" customFormat="false" ht="15" hidden="false" customHeight="false" outlineLevel="0" collapsed="false">
      <c r="A111" s="0" t="n">
        <v>7110</v>
      </c>
      <c r="B111" s="0" t="n">
        <v>3018</v>
      </c>
      <c r="C111" s="0" t="s">
        <v>14</v>
      </c>
      <c r="D111" s="3" t="n">
        <v>45745</v>
      </c>
      <c r="E111" s="4" t="n">
        <v>45000000</v>
      </c>
      <c r="F111" s="4" t="n">
        <v>40800000</v>
      </c>
      <c r="G111" s="0" t="n">
        <v>0</v>
      </c>
      <c r="H111" s="0" t="n">
        <v>0</v>
      </c>
    </row>
    <row r="112" customFormat="false" ht="15" hidden="false" customHeight="false" outlineLevel="0" collapsed="false">
      <c r="A112" s="0" t="n">
        <v>7111</v>
      </c>
      <c r="B112" s="0" t="n">
        <v>3026</v>
      </c>
      <c r="C112" s="0" t="s">
        <v>13</v>
      </c>
      <c r="D112" s="3" t="n">
        <v>45937</v>
      </c>
      <c r="E112" s="4" t="n">
        <v>6000000</v>
      </c>
      <c r="F112" s="4" t="n">
        <v>4500000</v>
      </c>
      <c r="G112" s="0" t="n">
        <v>8</v>
      </c>
      <c r="H112" s="0" t="n">
        <v>0</v>
      </c>
    </row>
    <row r="113" customFormat="false" ht="15" hidden="false" customHeight="false" outlineLevel="0" collapsed="false">
      <c r="A113" s="0" t="n">
        <v>7112</v>
      </c>
      <c r="B113" s="0" t="n">
        <v>3045</v>
      </c>
      <c r="C113" s="0" t="s">
        <v>16</v>
      </c>
      <c r="D113" s="3" t="n">
        <v>45555</v>
      </c>
      <c r="E113" s="4" t="n">
        <v>93000000</v>
      </c>
      <c r="F113" s="4" t="n">
        <v>61000000</v>
      </c>
      <c r="G113" s="0" t="n">
        <v>0</v>
      </c>
      <c r="H113" s="0" t="n">
        <v>0</v>
      </c>
    </row>
    <row r="114" customFormat="false" ht="15" hidden="false" customHeight="false" outlineLevel="0" collapsed="false">
      <c r="A114" s="0" t="n">
        <v>7113</v>
      </c>
      <c r="B114" s="0" t="n">
        <v>3017</v>
      </c>
      <c r="C114" s="0" t="s">
        <v>16</v>
      </c>
      <c r="D114" s="3" t="n">
        <v>45491</v>
      </c>
      <c r="E114" s="4" t="n">
        <v>197000000</v>
      </c>
      <c r="F114" s="4" t="n">
        <v>180300000</v>
      </c>
      <c r="G114" s="0" t="n">
        <v>0</v>
      </c>
      <c r="H114" s="0" t="n">
        <v>27</v>
      </c>
    </row>
    <row r="115" customFormat="false" ht="15" hidden="false" customHeight="false" outlineLevel="0" collapsed="false">
      <c r="A115" s="0" t="n">
        <v>7114</v>
      </c>
      <c r="B115" s="0" t="n">
        <v>3021</v>
      </c>
      <c r="C115" s="0" t="s">
        <v>16</v>
      </c>
      <c r="D115" s="3" t="n">
        <v>46001</v>
      </c>
      <c r="E115" s="4" t="n">
        <v>151000000</v>
      </c>
      <c r="F115" s="4" t="n">
        <v>139900000</v>
      </c>
      <c r="G115" s="0" t="n">
        <v>0</v>
      </c>
      <c r="H115" s="0" t="n">
        <v>0</v>
      </c>
    </row>
    <row r="116" customFormat="false" ht="15" hidden="false" customHeight="false" outlineLevel="0" collapsed="false">
      <c r="A116" s="0" t="n">
        <v>7115</v>
      </c>
      <c r="B116" s="0" t="n">
        <v>3040</v>
      </c>
      <c r="C116" s="0" t="s">
        <v>15</v>
      </c>
      <c r="D116" s="3" t="n">
        <v>45516</v>
      </c>
      <c r="E116" s="4" t="n">
        <v>16000000</v>
      </c>
      <c r="F116" s="4" t="n">
        <v>10300000</v>
      </c>
      <c r="G116" s="0" t="n">
        <v>340</v>
      </c>
      <c r="H116" s="0" t="n">
        <v>310</v>
      </c>
    </row>
    <row r="117" customFormat="false" ht="15" hidden="false" customHeight="false" outlineLevel="0" collapsed="false">
      <c r="A117" s="0" t="n">
        <v>7116</v>
      </c>
      <c r="B117" s="0" t="n">
        <v>3006</v>
      </c>
      <c r="C117" s="0" t="s">
        <v>13</v>
      </c>
      <c r="D117" s="3" t="n">
        <v>45988</v>
      </c>
      <c r="E117" s="4" t="n">
        <v>11000000</v>
      </c>
      <c r="F117" s="4" t="n">
        <v>10700000</v>
      </c>
      <c r="G117" s="0" t="n">
        <v>0</v>
      </c>
      <c r="H117" s="0" t="n">
        <v>62</v>
      </c>
    </row>
    <row r="118" customFormat="false" ht="15" hidden="false" customHeight="false" outlineLevel="0" collapsed="false">
      <c r="A118" s="0" t="n">
        <v>7117</v>
      </c>
      <c r="B118" s="0" t="n">
        <v>3034</v>
      </c>
      <c r="C118" s="0" t="s">
        <v>16</v>
      </c>
      <c r="D118" s="3" t="n">
        <v>45635</v>
      </c>
      <c r="E118" s="4" t="n">
        <v>198000000</v>
      </c>
      <c r="F118" s="4" t="n">
        <v>78100000</v>
      </c>
      <c r="G118" s="0" t="n">
        <v>11</v>
      </c>
      <c r="H118" s="0" t="n">
        <v>0</v>
      </c>
    </row>
    <row r="119" customFormat="false" ht="15" hidden="false" customHeight="false" outlineLevel="0" collapsed="false">
      <c r="A119" s="0" t="n">
        <v>7118</v>
      </c>
      <c r="B119" s="0" t="n">
        <v>3057</v>
      </c>
      <c r="C119" s="0" t="s">
        <v>14</v>
      </c>
      <c r="D119" s="3" t="n">
        <v>46110</v>
      </c>
      <c r="E119" s="4" t="n">
        <v>51000000</v>
      </c>
      <c r="F119" s="4" t="n">
        <v>24900000</v>
      </c>
      <c r="G119" s="0" t="n">
        <v>0</v>
      </c>
      <c r="H119" s="0" t="n">
        <v>27</v>
      </c>
    </row>
    <row r="120" customFormat="false" ht="15" hidden="false" customHeight="false" outlineLevel="0" collapsed="false">
      <c r="A120" s="0" t="n">
        <v>7119</v>
      </c>
      <c r="B120" s="0" t="n">
        <v>3067</v>
      </c>
      <c r="C120" s="0" t="s">
        <v>16</v>
      </c>
      <c r="D120" s="3" t="n">
        <v>46220</v>
      </c>
      <c r="E120" s="4" t="n">
        <v>141000000</v>
      </c>
      <c r="F120" s="4" t="n">
        <v>71900000</v>
      </c>
      <c r="G120" s="0" t="n">
        <v>0</v>
      </c>
      <c r="H120" s="0" t="n">
        <v>0</v>
      </c>
    </row>
    <row r="121" customFormat="false" ht="15" hidden="false" customHeight="false" outlineLevel="0" collapsed="false">
      <c r="A121" s="0" t="n">
        <v>7120</v>
      </c>
      <c r="B121" s="0" t="n">
        <v>3015</v>
      </c>
      <c r="C121" s="0" t="s">
        <v>16</v>
      </c>
      <c r="D121" s="3" t="n">
        <v>45557</v>
      </c>
      <c r="E121" s="4" t="n">
        <v>112000000</v>
      </c>
      <c r="F121" s="4" t="n">
        <v>41300000</v>
      </c>
      <c r="G121" s="0" t="n">
        <v>0</v>
      </c>
      <c r="H1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customFormat="false" ht="15" hidden="false" customHeight="false" outlineLevel="0" collapsed="false">
      <c r="A2" s="0" t="n">
        <v>1</v>
      </c>
      <c r="B2" s="0" t="s">
        <v>22</v>
      </c>
      <c r="C2" s="0" t="n">
        <v>0</v>
      </c>
      <c r="D2" s="0" t="n">
        <v>9</v>
      </c>
      <c r="E2" s="5" t="n">
        <v>0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n">
        <v>10</v>
      </c>
      <c r="D3" s="0" t="n">
        <v>90</v>
      </c>
      <c r="E3" s="5" t="n">
        <v>0.05</v>
      </c>
    </row>
    <row r="4" customFormat="false" ht="15" hidden="false" customHeight="false" outlineLevel="0" collapsed="false">
      <c r="A4" s="0" t="n">
        <v>3</v>
      </c>
      <c r="B4" s="0" t="s">
        <v>24</v>
      </c>
      <c r="C4" s="0" t="n">
        <v>91</v>
      </c>
      <c r="D4" s="0" t="n">
        <v>180</v>
      </c>
      <c r="E4" s="5" t="n">
        <v>0.2</v>
      </c>
    </row>
    <row r="5" customFormat="false" ht="15" hidden="false" customHeight="false" outlineLevel="0" collapsed="false">
      <c r="A5" s="0" t="n">
        <v>4</v>
      </c>
      <c r="B5" s="0" t="s">
        <v>25</v>
      </c>
      <c r="C5" s="0" t="n">
        <v>181</v>
      </c>
      <c r="D5" s="0" t="n">
        <v>360</v>
      </c>
      <c r="E5" s="5" t="n">
        <v>0.5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n">
        <v>361</v>
      </c>
      <c r="D6" s="0" t="n">
        <v>99999</v>
      </c>
      <c r="E6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27</v>
      </c>
      <c r="D1" s="2" t="s">
        <v>10</v>
      </c>
    </row>
    <row r="2" customFormat="false" ht="15" hidden="false" customHeight="false" outlineLevel="0" collapsed="false">
      <c r="A2" s="0" t="n">
        <v>1</v>
      </c>
      <c r="B2" s="0" t="str">
        <f aca="false">INDEX(rules!$B$2:$B$6,A2)</f>
        <v>Pass</v>
      </c>
      <c r="C2" s="0" t="n">
        <f aca="false">COUNTIFS(loans!$G$2:$G$121,"&gt;="&amp;INDEX(rules!$C$2:$C$6,A2),loans!$G$2:$G$121,"&lt;="&amp;INDEX(rules!$D$2:$D$6,A2))</f>
        <v>81</v>
      </c>
      <c r="D2" s="0" t="n">
        <f aca="false">SUMIFS(loans!$F$2:$F$121,loans!$G$2:$G$121,"&gt;="&amp;INDEX(rules!$C$2:$C$6,A2),loans!$G$2:$G$121,"&lt;="&amp;INDEX(rules!$D$2:$D$6,A2))</f>
        <v>3293300000</v>
      </c>
    </row>
    <row r="3" customFormat="false" ht="15" hidden="false" customHeight="false" outlineLevel="0" collapsed="false">
      <c r="A3" s="0" t="n">
        <v>2</v>
      </c>
      <c r="B3" s="0" t="str">
        <f aca="false">INDEX(rules!$B$2:$B$6,A3)</f>
        <v>Special mention</v>
      </c>
      <c r="C3" s="0" t="n">
        <f aca="false">COUNTIFS(loans!$G$2:$G$121,"&gt;="&amp;INDEX(rules!$C$2:$C$6,A3),loans!$G$2:$G$121,"&lt;="&amp;INDEX(rules!$D$2:$D$6,A3))</f>
        <v>22</v>
      </c>
      <c r="D3" s="0" t="n">
        <f aca="false">SUMIFS(loans!$F$2:$F$121,loans!$G$2:$G$121,"&gt;="&amp;INDEX(rules!$C$2:$C$6,A3),loans!$G$2:$G$121,"&lt;="&amp;INDEX(rules!$D$2:$D$6,A3))</f>
        <v>743200000</v>
      </c>
    </row>
    <row r="4" customFormat="false" ht="15" hidden="false" customHeight="false" outlineLevel="0" collapsed="false">
      <c r="A4" s="0" t="n">
        <v>3</v>
      </c>
      <c r="B4" s="0" t="str">
        <f aca="false">INDEX(rules!$B$2:$B$6,A4)</f>
        <v>Substandard</v>
      </c>
      <c r="C4" s="0" t="n">
        <f aca="false">COUNTIFS(loans!$G$2:$G$121,"&gt;="&amp;INDEX(rules!$C$2:$C$6,A4),loans!$G$2:$G$121,"&lt;="&amp;INDEX(rules!$D$2:$D$6,A4))</f>
        <v>7</v>
      </c>
      <c r="D4" s="0" t="n">
        <f aca="false">SUMIFS(loans!$F$2:$F$121,loans!$G$2:$G$121,"&gt;="&amp;INDEX(rules!$C$2:$C$6,A4),loans!$G$2:$G$121,"&lt;="&amp;INDEX(rules!$D$2:$D$6,A4))</f>
        <v>180600000</v>
      </c>
    </row>
    <row r="5" customFormat="false" ht="15" hidden="false" customHeight="false" outlineLevel="0" collapsed="false">
      <c r="A5" s="0" t="n">
        <v>4</v>
      </c>
      <c r="B5" s="0" t="str">
        <f aca="false">INDEX(rules!$B$2:$B$6,A5)</f>
        <v>Doubtful</v>
      </c>
      <c r="C5" s="0" t="n">
        <f aca="false">COUNTIFS(loans!$G$2:$G$121,"&gt;="&amp;INDEX(rules!$C$2:$C$6,A5),loans!$G$2:$G$121,"&lt;="&amp;INDEX(rules!$D$2:$D$6,A5))</f>
        <v>6</v>
      </c>
      <c r="D5" s="0" t="n">
        <f aca="false">SUMIFS(loans!$F$2:$F$121,loans!$G$2:$G$121,"&gt;="&amp;INDEX(rules!$C$2:$C$6,A5),loans!$G$2:$G$121,"&lt;="&amp;INDEX(rules!$D$2:$D$6,A5))</f>
        <v>245800000</v>
      </c>
    </row>
    <row r="6" customFormat="false" ht="15" hidden="false" customHeight="false" outlineLevel="0" collapsed="false">
      <c r="A6" s="0" t="n">
        <v>5</v>
      </c>
      <c r="B6" s="0" t="str">
        <f aca="false">INDEX(rules!$B$2:$B$6,A6)</f>
        <v>Loss</v>
      </c>
      <c r="C6" s="0" t="n">
        <f aca="false">COUNTIFS(loans!$G$2:$G$121,"&gt;="&amp;INDEX(rules!$C$2:$C$6,A6),loans!$G$2:$G$121,"&lt;="&amp;INDEX(rules!$D$2:$D$6,A6))</f>
        <v>4</v>
      </c>
      <c r="D6" s="0" t="n">
        <f aca="false">SUMIFS(loans!$F$2:$F$121,loans!$G$2:$G$121,"&gt;="&amp;INDEX(rules!$C$2:$C$6,A6),loans!$G$2:$G$121,"&lt;="&amp;INDEX(rules!$D$2:$D$6,A6))</f>
        <v>214500000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2" t="s">
        <v>17</v>
      </c>
      <c r="B1" s="2" t="s">
        <v>10</v>
      </c>
      <c r="C1" s="2" t="s">
        <v>21</v>
      </c>
      <c r="D1" s="2" t="s">
        <v>28</v>
      </c>
    </row>
    <row r="2" customFormat="false" ht="15" hidden="false" customHeight="false" outlineLevel="0" collapsed="false">
      <c r="A2" s="0" t="n">
        <v>1</v>
      </c>
      <c r="B2" s="0" t="n">
        <f aca="false">SUMIFS(loans!$F$2:$F$121,loans!$G$2:$G$121,"&gt;="&amp;INDEX(rules!$C$2:$C$6,A2),loans!$G$2:$G$121,"&lt;="&amp;INDEX(rules!$D$2:$D$6,A2))</f>
        <v>3293300000</v>
      </c>
      <c r="C2" s="5" t="n">
        <f aca="false">INDEX(rules!$E$2:$E$6,A2)</f>
        <v>0</v>
      </c>
      <c r="D2" s="0" t="n">
        <f aca="false">ROUND(B2*C2,0)</f>
        <v>0</v>
      </c>
    </row>
    <row r="3" customFormat="false" ht="15" hidden="false" customHeight="false" outlineLevel="0" collapsed="false">
      <c r="A3" s="0" t="n">
        <v>2</v>
      </c>
      <c r="B3" s="0" t="n">
        <f aca="false">SUMIFS(loans!$F$2:$F$121,loans!$G$2:$G$121,"&gt;="&amp;INDEX(rules!$C$2:$C$6,A3),loans!$G$2:$G$121,"&lt;="&amp;INDEX(rules!$D$2:$D$6,A3))</f>
        <v>743200000</v>
      </c>
      <c r="C3" s="5" t="n">
        <f aca="false">INDEX(rules!$E$2:$E$6,A3)</f>
        <v>0.05</v>
      </c>
      <c r="D3" s="0" t="n">
        <f aca="false">ROUND(B3*C3,0)</f>
        <v>37160000</v>
      </c>
    </row>
    <row r="4" customFormat="false" ht="15" hidden="false" customHeight="false" outlineLevel="0" collapsed="false">
      <c r="A4" s="0" t="n">
        <v>3</v>
      </c>
      <c r="B4" s="0" t="n">
        <f aca="false">SUMIFS(loans!$F$2:$F$121,loans!$G$2:$G$121,"&gt;="&amp;INDEX(rules!$C$2:$C$6,A4),loans!$G$2:$G$121,"&lt;="&amp;INDEX(rules!$D$2:$D$6,A4))</f>
        <v>180600000</v>
      </c>
      <c r="C4" s="5" t="n">
        <f aca="false">INDEX(rules!$E$2:$E$6,A4)</f>
        <v>0.2</v>
      </c>
      <c r="D4" s="0" t="n">
        <f aca="false">ROUND(B4*C4,0)</f>
        <v>36120000</v>
      </c>
    </row>
    <row r="5" customFormat="false" ht="15" hidden="false" customHeight="false" outlineLevel="0" collapsed="false">
      <c r="A5" s="0" t="n">
        <v>4</v>
      </c>
      <c r="B5" s="0" t="n">
        <f aca="false">SUMIFS(loans!$F$2:$F$121,loans!$G$2:$G$121,"&gt;="&amp;INDEX(rules!$C$2:$C$6,A5),loans!$G$2:$G$121,"&lt;="&amp;INDEX(rules!$D$2:$D$6,A5))</f>
        <v>245800000</v>
      </c>
      <c r="C5" s="5" t="n">
        <f aca="false">INDEX(rules!$E$2:$E$6,A5)</f>
        <v>0.5</v>
      </c>
      <c r="D5" s="0" t="n">
        <f aca="false">ROUND(B5*C5,0)</f>
        <v>122900000</v>
      </c>
    </row>
    <row r="6" customFormat="false" ht="15" hidden="false" customHeight="false" outlineLevel="0" collapsed="false">
      <c r="A6" s="0" t="n">
        <v>5</v>
      </c>
      <c r="B6" s="0" t="n">
        <f aca="false">SUMIFS(loans!$F$2:$F$121,loans!$G$2:$G$121,"&gt;="&amp;INDEX(rules!$C$2:$C$6,A6),loans!$G$2:$G$121,"&lt;="&amp;INDEX(rules!$D$2:$D$6,A6))</f>
        <v>214500000</v>
      </c>
      <c r="C6" s="5" t="n">
        <f aca="false">INDEX(rules!$E$2:$E$6,A6)</f>
        <v>1</v>
      </c>
      <c r="D6" s="0" t="n">
        <f aca="false">ROUND(B6*C6,0)</f>
        <v>214500000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</row>
    <row r="2" customFormat="false" ht="15" hidden="false" customHeight="false" outlineLevel="0" collapsed="false">
      <c r="A2" s="0" t="n">
        <f aca="false">SUM(B5:B9)</f>
        <v>4677400000</v>
      </c>
      <c r="B2" s="0" t="n">
        <f aca="false">SUM(B7:B9)</f>
        <v>640900000</v>
      </c>
      <c r="C2" s="0" t="n">
        <f aca="false">ROUND(100*B2/A2,2)</f>
        <v>13.7</v>
      </c>
      <c r="D2" s="0" t="n">
        <f aca="false">SUM(C5:C9)</f>
        <v>410680000</v>
      </c>
      <c r="E2" s="0" t="n">
        <f aca="false">ROUND(100*D2/B2,2)</f>
        <v>64.08</v>
      </c>
    </row>
    <row r="4" customFormat="false" ht="15" hidden="false" customHeight="false" outlineLevel="0" collapsed="false">
      <c r="A4" s="0" t="s">
        <v>17</v>
      </c>
      <c r="B4" s="0" t="s">
        <v>10</v>
      </c>
      <c r="C4" s="0" t="s">
        <v>28</v>
      </c>
    </row>
    <row r="5" customFormat="false" ht="15" hidden="false" customHeight="false" outlineLevel="0" collapsed="false">
      <c r="A5" s="0" t="n">
        <v>1</v>
      </c>
      <c r="B5" s="0" t="n">
        <f aca="false">SUMIFS(loans!$F$2:$F$121,loans!$G$2:$G$121,"&gt;="&amp;INDEX(rules!$C$2:$C$6,A5),loans!$G$2:$G$121,"&lt;="&amp;INDEX(rules!$D$2:$D$6,A5))</f>
        <v>3293300000</v>
      </c>
      <c r="C5" s="0" t="n">
        <f aca="false">ROUND(B5*INDEX(rules!$E$2:$E$6,A5),0)</f>
        <v>0</v>
      </c>
    </row>
    <row r="6" customFormat="false" ht="15" hidden="false" customHeight="false" outlineLevel="0" collapsed="false">
      <c r="A6" s="0" t="n">
        <v>2</v>
      </c>
      <c r="B6" s="0" t="n">
        <f aca="false">SUMIFS(loans!$F$2:$F$121,loans!$G$2:$G$121,"&gt;="&amp;INDEX(rules!$C$2:$C$6,A6),loans!$G$2:$G$121,"&lt;="&amp;INDEX(rules!$D$2:$D$6,A6))</f>
        <v>743200000</v>
      </c>
      <c r="C6" s="0" t="n">
        <f aca="false">ROUND(B6*INDEX(rules!$E$2:$E$6,A6),0)</f>
        <v>37160000</v>
      </c>
    </row>
    <row r="7" customFormat="false" ht="15" hidden="false" customHeight="false" outlineLevel="0" collapsed="false">
      <c r="A7" s="0" t="n">
        <v>3</v>
      </c>
      <c r="B7" s="0" t="n">
        <f aca="false">SUMIFS(loans!$F$2:$F$121,loans!$G$2:$G$121,"&gt;="&amp;INDEX(rules!$C$2:$C$6,A7),loans!$G$2:$G$121,"&lt;="&amp;INDEX(rules!$D$2:$D$6,A7))</f>
        <v>180600000</v>
      </c>
      <c r="C7" s="0" t="n">
        <f aca="false">ROUND(B7*INDEX(rules!$E$2:$E$6,A7),0)</f>
        <v>36120000</v>
      </c>
    </row>
    <row r="8" customFormat="false" ht="15" hidden="false" customHeight="false" outlineLevel="0" collapsed="false">
      <c r="A8" s="0" t="n">
        <v>4</v>
      </c>
      <c r="B8" s="0" t="n">
        <f aca="false">SUMIFS(loans!$F$2:$F$121,loans!$G$2:$G$121,"&gt;="&amp;INDEX(rules!$C$2:$C$6,A8),loans!$G$2:$G$121,"&lt;="&amp;INDEX(rules!$D$2:$D$6,A8))</f>
        <v>245800000</v>
      </c>
      <c r="C8" s="0" t="n">
        <f aca="false">ROUND(B8*INDEX(rules!$E$2:$E$6,A8),0)</f>
        <v>122900000</v>
      </c>
    </row>
    <row r="9" customFormat="false" ht="15" hidden="false" customHeight="false" outlineLevel="0" collapsed="false">
      <c r="A9" s="0" t="n">
        <v>5</v>
      </c>
      <c r="B9" s="0" t="n">
        <f aca="false">SUMIFS(loans!$F$2:$F$121,loans!$G$2:$G$121,"&gt;="&amp;INDEX(rules!$C$2:$C$6,A9),loans!$G$2:$G$121,"&lt;="&amp;INDEX(rules!$D$2:$D$6,A9))</f>
        <v>214500000</v>
      </c>
      <c r="C9" s="0" t="n">
        <f aca="false">ROUND(B9*INDEX(rules!$E$2:$E$6,A9),0)</f>
        <v>214500000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10</v>
      </c>
      <c r="D1" s="2" t="s">
        <v>11</v>
      </c>
      <c r="E1" s="2" t="s">
        <v>34</v>
      </c>
      <c r="F1" s="2" t="s">
        <v>35</v>
      </c>
      <c r="G1" s="2"/>
      <c r="H1" s="2" t="s">
        <v>17</v>
      </c>
      <c r="I1" s="2" t="s">
        <v>27</v>
      </c>
      <c r="J1" s="2" t="s">
        <v>10</v>
      </c>
    </row>
    <row r="2" customFormat="false" ht="15" hidden="false" customHeight="false" outlineLevel="0" collapsed="false">
      <c r="A2" s="0" t="n">
        <v>7001</v>
      </c>
      <c r="B2" s="0" t="n">
        <v>3037</v>
      </c>
      <c r="C2" s="0" t="n">
        <v>9000000</v>
      </c>
      <c r="D2" s="0" t="n">
        <v>15</v>
      </c>
      <c r="E2" s="0" t="n">
        <f aca="false">MATCH(D2,rules!$C$2:$C$6,1)</f>
        <v>2</v>
      </c>
      <c r="F2" s="0" t="n">
        <f aca="false">_xlfn.MAXIFS($E$2:$E$121,$B$2:$B$121,B2)</f>
        <v>2</v>
      </c>
      <c r="H2" s="0" t="n">
        <v>1</v>
      </c>
      <c r="I2" s="0" t="n">
        <f aca="false">COUNTIF($F$2:$F$121,H2)</f>
        <v>51</v>
      </c>
      <c r="J2" s="0" t="n">
        <f aca="false">SUMIFS($C$2:$C$121,$F$2:$F$121,H2)</f>
        <v>1610300000</v>
      </c>
    </row>
    <row r="3" customFormat="false" ht="15" hidden="false" customHeight="false" outlineLevel="0" collapsed="false">
      <c r="A3" s="0" t="n">
        <v>7002</v>
      </c>
      <c r="B3" s="0" t="n">
        <v>3035</v>
      </c>
      <c r="C3" s="0" t="n">
        <v>26200000</v>
      </c>
      <c r="D3" s="0" t="n">
        <v>0</v>
      </c>
      <c r="E3" s="0" t="n">
        <f aca="false">MATCH(D3,rules!$C$2:$C$6,1)</f>
        <v>1</v>
      </c>
      <c r="F3" s="0" t="n">
        <f aca="false">_xlfn.MAXIFS($E$2:$E$121,$B$2:$B$121,B3)</f>
        <v>1</v>
      </c>
      <c r="H3" s="0" t="n">
        <v>2</v>
      </c>
      <c r="I3" s="0" t="n">
        <f aca="false">COUNTIF($F$2:$F$121,H3)</f>
        <v>28</v>
      </c>
      <c r="J3" s="0" t="n">
        <f aca="false">SUMIFS($C$2:$C$121,$F$2:$F$121,H3)</f>
        <v>1178500000</v>
      </c>
    </row>
    <row r="4" customFormat="false" ht="15" hidden="false" customHeight="false" outlineLevel="0" collapsed="false">
      <c r="A4" s="0" t="n">
        <v>7003</v>
      </c>
      <c r="B4" s="0" t="n">
        <v>3065</v>
      </c>
      <c r="C4" s="0" t="n">
        <v>6000000</v>
      </c>
      <c r="D4" s="0" t="n">
        <v>21</v>
      </c>
      <c r="E4" s="0" t="n">
        <f aca="false">MATCH(D4,rules!$C$2:$C$6,1)</f>
        <v>2</v>
      </c>
      <c r="F4" s="0" t="n">
        <f aca="false">_xlfn.MAXIFS($E$2:$E$121,$B$2:$B$121,B4)</f>
        <v>2</v>
      </c>
      <c r="H4" s="0" t="n">
        <v>3</v>
      </c>
      <c r="I4" s="0" t="n">
        <f aca="false">COUNTIF($F$2:$F$121,H4)</f>
        <v>13</v>
      </c>
      <c r="J4" s="0" t="n">
        <f aca="false">SUMIFS($C$2:$C$121,$F$2:$F$121,H4)</f>
        <v>581000000</v>
      </c>
    </row>
    <row r="5" customFormat="false" ht="15" hidden="false" customHeight="false" outlineLevel="0" collapsed="false">
      <c r="A5" s="0" t="n">
        <v>7004</v>
      </c>
      <c r="B5" s="0" t="n">
        <v>3033</v>
      </c>
      <c r="C5" s="0" t="n">
        <v>23100000</v>
      </c>
      <c r="D5" s="0" t="n">
        <v>9</v>
      </c>
      <c r="E5" s="0" t="n">
        <f aca="false">MATCH(D5,rules!$C$2:$C$6,1)</f>
        <v>1</v>
      </c>
      <c r="F5" s="0" t="n">
        <f aca="false">_xlfn.MAXIFS($E$2:$E$121,$B$2:$B$121,B5)</f>
        <v>5</v>
      </c>
      <c r="H5" s="0" t="n">
        <v>4</v>
      </c>
      <c r="I5" s="0" t="n">
        <f aca="false">COUNTIF($F$2:$F$121,H5)</f>
        <v>19</v>
      </c>
      <c r="J5" s="0" t="n">
        <f aca="false">SUMIFS($C$2:$C$121,$F$2:$F$121,H5)</f>
        <v>845100000</v>
      </c>
    </row>
    <row r="6" customFormat="false" ht="15" hidden="false" customHeight="false" outlineLevel="0" collapsed="false">
      <c r="A6" s="0" t="n">
        <v>7005</v>
      </c>
      <c r="B6" s="0" t="n">
        <v>3056</v>
      </c>
      <c r="C6" s="0" t="n">
        <v>20600000</v>
      </c>
      <c r="D6" s="0" t="n">
        <v>0</v>
      </c>
      <c r="E6" s="0" t="n">
        <f aca="false">MATCH(D6,rules!$C$2:$C$6,1)</f>
        <v>1</v>
      </c>
      <c r="F6" s="0" t="n">
        <f aca="false">_xlfn.MAXIFS($E$2:$E$121,$B$2:$B$121,B6)</f>
        <v>1</v>
      </c>
      <c r="H6" s="0" t="n">
        <v>5</v>
      </c>
      <c r="I6" s="0" t="n">
        <f aca="false">COUNTIF($F$2:$F$121,H6)</f>
        <v>9</v>
      </c>
      <c r="J6" s="0" t="n">
        <f aca="false">SUMIFS($C$2:$C$121,$F$2:$F$121,H6)</f>
        <v>462500000</v>
      </c>
    </row>
    <row r="7" customFormat="false" ht="15" hidden="false" customHeight="false" outlineLevel="0" collapsed="false">
      <c r="A7" s="0" t="n">
        <v>7006</v>
      </c>
      <c r="B7" s="0" t="n">
        <v>3017</v>
      </c>
      <c r="C7" s="0" t="n">
        <v>20300000</v>
      </c>
      <c r="D7" s="0" t="n">
        <v>69</v>
      </c>
      <c r="E7" s="0" t="n">
        <f aca="false">MATCH(D7,rules!$C$2:$C$6,1)</f>
        <v>2</v>
      </c>
      <c r="F7" s="0" t="n">
        <f aca="false">_xlfn.MAXIFS($E$2:$E$121,$B$2:$B$121,B7)</f>
        <v>3</v>
      </c>
    </row>
    <row r="8" customFormat="false" ht="15" hidden="false" customHeight="false" outlineLevel="0" collapsed="false">
      <c r="A8" s="0" t="n">
        <v>7007</v>
      </c>
      <c r="B8" s="0" t="n">
        <v>3022</v>
      </c>
      <c r="C8" s="0" t="n">
        <v>11100000</v>
      </c>
      <c r="D8" s="0" t="n">
        <v>0</v>
      </c>
      <c r="E8" s="0" t="n">
        <f aca="false">MATCH(D8,rules!$C$2:$C$6,1)</f>
        <v>1</v>
      </c>
      <c r="F8" s="0" t="n">
        <f aca="false">_xlfn.MAXIFS($E$2:$E$121,$B$2:$B$121,B8)</f>
        <v>1</v>
      </c>
    </row>
    <row r="9" customFormat="false" ht="15" hidden="false" customHeight="false" outlineLevel="0" collapsed="false">
      <c r="A9" s="0" t="n">
        <v>7008</v>
      </c>
      <c r="B9" s="0" t="n">
        <v>3040</v>
      </c>
      <c r="C9" s="0" t="n">
        <v>133000000</v>
      </c>
      <c r="D9" s="0" t="n">
        <v>0</v>
      </c>
      <c r="E9" s="0" t="n">
        <f aca="false">MATCH(D9,rules!$C$2:$C$6,1)</f>
        <v>1</v>
      </c>
      <c r="F9" s="0" t="n">
        <f aca="false">_xlfn.MAXIFS($E$2:$E$121,$B$2:$B$121,B9)</f>
        <v>4</v>
      </c>
    </row>
    <row r="10" customFormat="false" ht="15" hidden="false" customHeight="false" outlineLevel="0" collapsed="false">
      <c r="A10" s="0" t="n">
        <v>7009</v>
      </c>
      <c r="B10" s="0" t="n">
        <v>3004</v>
      </c>
      <c r="C10" s="0" t="n">
        <v>40800000</v>
      </c>
      <c r="D10" s="0" t="n">
        <v>0</v>
      </c>
      <c r="E10" s="0" t="n">
        <f aca="false">MATCH(D10,rules!$C$2:$C$6,1)</f>
        <v>1</v>
      </c>
      <c r="F10" s="0" t="n">
        <f aca="false">_xlfn.MAXIFS($E$2:$E$121,$B$2:$B$121,B10)</f>
        <v>2</v>
      </c>
    </row>
    <row r="11" customFormat="false" ht="15" hidden="false" customHeight="false" outlineLevel="0" collapsed="false">
      <c r="A11" s="0" t="n">
        <v>7010</v>
      </c>
      <c r="B11" s="0" t="n">
        <v>3064</v>
      </c>
      <c r="C11" s="0" t="n">
        <v>87400000</v>
      </c>
      <c r="D11" s="0" t="n">
        <v>10</v>
      </c>
      <c r="E11" s="0" t="n">
        <f aca="false">MATCH(D11,rules!$C$2:$C$6,1)</f>
        <v>2</v>
      </c>
      <c r="F11" s="0" t="n">
        <f aca="false">_xlfn.MAXIFS($E$2:$E$121,$B$2:$B$121,B11)</f>
        <v>2</v>
      </c>
    </row>
    <row r="12" customFormat="false" ht="15" hidden="false" customHeight="false" outlineLevel="0" collapsed="false">
      <c r="A12" s="0" t="n">
        <v>7011</v>
      </c>
      <c r="B12" s="0" t="n">
        <v>3040</v>
      </c>
      <c r="C12" s="0" t="n">
        <v>14900000</v>
      </c>
      <c r="D12" s="0" t="n">
        <v>89</v>
      </c>
      <c r="E12" s="0" t="n">
        <f aca="false">MATCH(D12,rules!$C$2:$C$6,1)</f>
        <v>2</v>
      </c>
      <c r="F12" s="0" t="n">
        <f aca="false">_xlfn.MAXIFS($E$2:$E$121,$B$2:$B$121,B12)</f>
        <v>4</v>
      </c>
    </row>
    <row r="13" customFormat="false" ht="15" hidden="false" customHeight="false" outlineLevel="0" collapsed="false">
      <c r="A13" s="0" t="n">
        <v>7012</v>
      </c>
      <c r="B13" s="0" t="n">
        <v>3040</v>
      </c>
      <c r="C13" s="0" t="n">
        <v>118500000</v>
      </c>
      <c r="D13" s="0" t="n">
        <v>26</v>
      </c>
      <c r="E13" s="0" t="n">
        <f aca="false">MATCH(D13,rules!$C$2:$C$6,1)</f>
        <v>2</v>
      </c>
      <c r="F13" s="0" t="n">
        <f aca="false">_xlfn.MAXIFS($E$2:$E$121,$B$2:$B$121,B13)</f>
        <v>4</v>
      </c>
    </row>
    <row r="14" customFormat="false" ht="15" hidden="false" customHeight="false" outlineLevel="0" collapsed="false">
      <c r="A14" s="0" t="n">
        <v>7013</v>
      </c>
      <c r="B14" s="0" t="n">
        <v>3017</v>
      </c>
      <c r="C14" s="0" t="n">
        <v>26900000</v>
      </c>
      <c r="D14" s="0" t="n">
        <v>111</v>
      </c>
      <c r="E14" s="0" t="n">
        <f aca="false">MATCH(D14,rules!$C$2:$C$6,1)</f>
        <v>3</v>
      </c>
      <c r="F14" s="0" t="n">
        <f aca="false">_xlfn.MAXIFS($E$2:$E$121,$B$2:$B$121,B14)</f>
        <v>3</v>
      </c>
    </row>
    <row r="15" customFormat="false" ht="15" hidden="false" customHeight="false" outlineLevel="0" collapsed="false">
      <c r="A15" s="0" t="n">
        <v>7014</v>
      </c>
      <c r="B15" s="0" t="n">
        <v>3061</v>
      </c>
      <c r="C15" s="0" t="n">
        <v>16600000</v>
      </c>
      <c r="D15" s="0" t="n">
        <v>80</v>
      </c>
      <c r="E15" s="0" t="n">
        <f aca="false">MATCH(D15,rules!$C$2:$C$6,1)</f>
        <v>2</v>
      </c>
      <c r="F15" s="0" t="n">
        <f aca="false">_xlfn.MAXIFS($E$2:$E$121,$B$2:$B$121,B15)</f>
        <v>2</v>
      </c>
    </row>
    <row r="16" customFormat="false" ht="15" hidden="false" customHeight="false" outlineLevel="0" collapsed="false">
      <c r="A16" s="0" t="n">
        <v>7015</v>
      </c>
      <c r="B16" s="0" t="n">
        <v>3024</v>
      </c>
      <c r="C16" s="0" t="n">
        <v>5900000</v>
      </c>
      <c r="D16" s="0" t="n">
        <v>0</v>
      </c>
      <c r="E16" s="0" t="n">
        <f aca="false">MATCH(D16,rules!$C$2:$C$6,1)</f>
        <v>1</v>
      </c>
      <c r="F16" s="0" t="n">
        <f aca="false">_xlfn.MAXIFS($E$2:$E$121,$B$2:$B$121,B16)</f>
        <v>1</v>
      </c>
    </row>
    <row r="17" customFormat="false" ht="15" hidden="false" customHeight="false" outlineLevel="0" collapsed="false">
      <c r="A17" s="0" t="n">
        <v>7016</v>
      </c>
      <c r="B17" s="0" t="n">
        <v>3002</v>
      </c>
      <c r="C17" s="0" t="n">
        <v>14800000</v>
      </c>
      <c r="D17" s="0" t="n">
        <v>0</v>
      </c>
      <c r="E17" s="0" t="n">
        <f aca="false">MATCH(D17,rules!$C$2:$C$6,1)</f>
        <v>1</v>
      </c>
      <c r="F17" s="0" t="n">
        <f aca="false">_xlfn.MAXIFS($E$2:$E$121,$B$2:$B$121,B17)</f>
        <v>4</v>
      </c>
    </row>
    <row r="18" customFormat="false" ht="15" hidden="false" customHeight="false" outlineLevel="0" collapsed="false">
      <c r="A18" s="0" t="n">
        <v>7017</v>
      </c>
      <c r="B18" s="0" t="n">
        <v>3046</v>
      </c>
      <c r="C18" s="0" t="n">
        <v>68700000</v>
      </c>
      <c r="D18" s="0" t="n">
        <v>0</v>
      </c>
      <c r="E18" s="0" t="n">
        <f aca="false">MATCH(D18,rules!$C$2:$C$6,1)</f>
        <v>1</v>
      </c>
      <c r="F18" s="0" t="n">
        <f aca="false">_xlfn.MAXIFS($E$2:$E$121,$B$2:$B$121,B18)</f>
        <v>1</v>
      </c>
    </row>
    <row r="19" customFormat="false" ht="15" hidden="false" customHeight="false" outlineLevel="0" collapsed="false">
      <c r="A19" s="0" t="n">
        <v>7018</v>
      </c>
      <c r="B19" s="0" t="n">
        <v>3021</v>
      </c>
      <c r="C19" s="0" t="n">
        <v>128300000</v>
      </c>
      <c r="D19" s="0" t="n">
        <v>0</v>
      </c>
      <c r="E19" s="0" t="n">
        <f aca="false">MATCH(D19,rules!$C$2:$C$6,1)</f>
        <v>1</v>
      </c>
      <c r="F19" s="0" t="n">
        <f aca="false">_xlfn.MAXIFS($E$2:$E$121,$B$2:$B$121,B19)</f>
        <v>2</v>
      </c>
    </row>
    <row r="20" customFormat="false" ht="15" hidden="false" customHeight="false" outlineLevel="0" collapsed="false">
      <c r="A20" s="0" t="n">
        <v>7019</v>
      </c>
      <c r="B20" s="0" t="n">
        <v>3027</v>
      </c>
      <c r="C20" s="0" t="n">
        <v>46300000</v>
      </c>
      <c r="D20" s="0" t="n">
        <v>181</v>
      </c>
      <c r="E20" s="0" t="n">
        <f aca="false">MATCH(D20,rules!$C$2:$C$6,1)</f>
        <v>4</v>
      </c>
      <c r="F20" s="0" t="n">
        <f aca="false">_xlfn.MAXIFS($E$2:$E$121,$B$2:$B$121,B20)</f>
        <v>4</v>
      </c>
    </row>
    <row r="21" customFormat="false" ht="15" hidden="false" customHeight="false" outlineLevel="0" collapsed="false">
      <c r="A21" s="0" t="n">
        <v>7020</v>
      </c>
      <c r="B21" s="0" t="n">
        <v>3037</v>
      </c>
      <c r="C21" s="0" t="n">
        <v>35000000</v>
      </c>
      <c r="D21" s="0" t="n">
        <v>0</v>
      </c>
      <c r="E21" s="0" t="n">
        <f aca="false">MATCH(D21,rules!$C$2:$C$6,1)</f>
        <v>1</v>
      </c>
      <c r="F21" s="0" t="n">
        <f aca="false">_xlfn.MAXIFS($E$2:$E$121,$B$2:$B$121,B21)</f>
        <v>2</v>
      </c>
    </row>
    <row r="22" customFormat="false" ht="15" hidden="false" customHeight="false" outlineLevel="0" collapsed="false">
      <c r="A22" s="0" t="n">
        <v>7021</v>
      </c>
      <c r="B22" s="0" t="n">
        <v>3063</v>
      </c>
      <c r="C22" s="0" t="n">
        <v>17600000</v>
      </c>
      <c r="D22" s="0" t="n">
        <v>7</v>
      </c>
      <c r="E22" s="0" t="n">
        <f aca="false">MATCH(D22,rules!$C$2:$C$6,1)</f>
        <v>1</v>
      </c>
      <c r="F22" s="0" t="n">
        <f aca="false">_xlfn.MAXIFS($E$2:$E$121,$B$2:$B$121,B22)</f>
        <v>1</v>
      </c>
    </row>
    <row r="23" customFormat="false" ht="15" hidden="false" customHeight="false" outlineLevel="0" collapsed="false">
      <c r="A23" s="0" t="n">
        <v>7022</v>
      </c>
      <c r="B23" s="0" t="n">
        <v>3060</v>
      </c>
      <c r="C23" s="0" t="n">
        <v>17400000</v>
      </c>
      <c r="D23" s="0" t="n">
        <v>40</v>
      </c>
      <c r="E23" s="0" t="n">
        <f aca="false">MATCH(D23,rules!$C$2:$C$6,1)</f>
        <v>2</v>
      </c>
      <c r="F23" s="0" t="n">
        <f aca="false">_xlfn.MAXIFS($E$2:$E$121,$B$2:$B$121,B23)</f>
        <v>2</v>
      </c>
    </row>
    <row r="24" customFormat="false" ht="15" hidden="false" customHeight="false" outlineLevel="0" collapsed="false">
      <c r="A24" s="0" t="n">
        <v>7023</v>
      </c>
      <c r="B24" s="0" t="n">
        <v>3039</v>
      </c>
      <c r="C24" s="0" t="n">
        <v>120300000</v>
      </c>
      <c r="D24" s="0" t="n">
        <v>210</v>
      </c>
      <c r="E24" s="0" t="n">
        <f aca="false">MATCH(D24,rules!$C$2:$C$6,1)</f>
        <v>4</v>
      </c>
      <c r="F24" s="0" t="n">
        <f aca="false">_xlfn.MAXIFS($E$2:$E$121,$B$2:$B$121,B24)</f>
        <v>4</v>
      </c>
    </row>
    <row r="25" customFormat="false" ht="15" hidden="false" customHeight="false" outlineLevel="0" collapsed="false">
      <c r="A25" s="0" t="n">
        <v>7024</v>
      </c>
      <c r="B25" s="0" t="n">
        <v>3033</v>
      </c>
      <c r="C25" s="0" t="n">
        <v>164500000</v>
      </c>
      <c r="D25" s="0" t="n">
        <v>0</v>
      </c>
      <c r="E25" s="0" t="n">
        <f aca="false">MATCH(D25,rules!$C$2:$C$6,1)</f>
        <v>1</v>
      </c>
      <c r="F25" s="0" t="n">
        <f aca="false">_xlfn.MAXIFS($E$2:$E$121,$B$2:$B$121,B25)</f>
        <v>5</v>
      </c>
    </row>
    <row r="26" customFormat="false" ht="15" hidden="false" customHeight="false" outlineLevel="0" collapsed="false">
      <c r="A26" s="0" t="n">
        <v>7025</v>
      </c>
      <c r="B26" s="0" t="n">
        <v>3021</v>
      </c>
      <c r="C26" s="0" t="n">
        <v>11000000</v>
      </c>
      <c r="D26" s="0" t="n">
        <v>60</v>
      </c>
      <c r="E26" s="0" t="n">
        <f aca="false">MATCH(D26,rules!$C$2:$C$6,1)</f>
        <v>2</v>
      </c>
      <c r="F26" s="0" t="n">
        <f aca="false">_xlfn.MAXIFS($E$2:$E$121,$B$2:$B$121,B26)</f>
        <v>2</v>
      </c>
    </row>
    <row r="27" customFormat="false" ht="15" hidden="false" customHeight="false" outlineLevel="0" collapsed="false">
      <c r="A27" s="0" t="n">
        <v>7026</v>
      </c>
      <c r="B27" s="0" t="n">
        <v>3033</v>
      </c>
      <c r="C27" s="0" t="n">
        <v>19000000</v>
      </c>
      <c r="D27" s="0" t="n">
        <v>391</v>
      </c>
      <c r="E27" s="0" t="n">
        <f aca="false">MATCH(D27,rules!$C$2:$C$6,1)</f>
        <v>5</v>
      </c>
      <c r="F27" s="0" t="n">
        <f aca="false">_xlfn.MAXIFS($E$2:$E$121,$B$2:$B$121,B27)</f>
        <v>5</v>
      </c>
    </row>
    <row r="28" customFormat="false" ht="15" hidden="false" customHeight="false" outlineLevel="0" collapsed="false">
      <c r="A28" s="0" t="n">
        <v>7027</v>
      </c>
      <c r="B28" s="0" t="n">
        <v>3004</v>
      </c>
      <c r="C28" s="0" t="n">
        <v>46100000</v>
      </c>
      <c r="D28" s="0" t="n">
        <v>34</v>
      </c>
      <c r="E28" s="0" t="n">
        <f aca="false">MATCH(D28,rules!$C$2:$C$6,1)</f>
        <v>2</v>
      </c>
      <c r="F28" s="0" t="n">
        <f aca="false">_xlfn.MAXIFS($E$2:$E$121,$B$2:$B$121,B28)</f>
        <v>2</v>
      </c>
    </row>
    <row r="29" customFormat="false" ht="15" hidden="false" customHeight="false" outlineLevel="0" collapsed="false">
      <c r="A29" s="0" t="n">
        <v>7028</v>
      </c>
      <c r="B29" s="0" t="n">
        <v>3002</v>
      </c>
      <c r="C29" s="0" t="n">
        <v>3400000</v>
      </c>
      <c r="D29" s="0" t="n">
        <v>0</v>
      </c>
      <c r="E29" s="0" t="n">
        <f aca="false">MATCH(D29,rules!$C$2:$C$6,1)</f>
        <v>1</v>
      </c>
      <c r="F29" s="0" t="n">
        <f aca="false">_xlfn.MAXIFS($E$2:$E$121,$B$2:$B$121,B29)</f>
        <v>4</v>
      </c>
    </row>
    <row r="30" customFormat="false" ht="15" hidden="false" customHeight="false" outlineLevel="0" collapsed="false">
      <c r="A30" s="0" t="n">
        <v>7029</v>
      </c>
      <c r="B30" s="0" t="n">
        <v>3049</v>
      </c>
      <c r="C30" s="0" t="n">
        <v>10500000</v>
      </c>
      <c r="D30" s="0" t="n">
        <v>39</v>
      </c>
      <c r="E30" s="0" t="n">
        <f aca="false">MATCH(D30,rules!$C$2:$C$6,1)</f>
        <v>2</v>
      </c>
      <c r="F30" s="0" t="n">
        <f aca="false">_xlfn.MAXIFS($E$2:$E$121,$B$2:$B$121,B30)</f>
        <v>2</v>
      </c>
    </row>
    <row r="31" customFormat="false" ht="15" hidden="false" customHeight="false" outlineLevel="0" collapsed="false">
      <c r="A31" s="0" t="n">
        <v>7030</v>
      </c>
      <c r="B31" s="0" t="n">
        <v>3031</v>
      </c>
      <c r="C31" s="0" t="n">
        <v>31400000</v>
      </c>
      <c r="D31" s="0" t="n">
        <v>7</v>
      </c>
      <c r="E31" s="0" t="n">
        <f aca="false">MATCH(D31,rules!$C$2:$C$6,1)</f>
        <v>1</v>
      </c>
      <c r="F31" s="0" t="n">
        <f aca="false">_xlfn.MAXIFS($E$2:$E$121,$B$2:$B$121,B31)</f>
        <v>1</v>
      </c>
    </row>
    <row r="32" customFormat="false" ht="15" hidden="false" customHeight="false" outlineLevel="0" collapsed="false">
      <c r="A32" s="0" t="n">
        <v>7031</v>
      </c>
      <c r="B32" s="0" t="n">
        <v>3030</v>
      </c>
      <c r="C32" s="0" t="n">
        <v>24300000</v>
      </c>
      <c r="D32" s="0" t="n">
        <v>0</v>
      </c>
      <c r="E32" s="0" t="n">
        <f aca="false">MATCH(D32,rules!$C$2:$C$6,1)</f>
        <v>1</v>
      </c>
      <c r="F32" s="0" t="n">
        <f aca="false">_xlfn.MAXIFS($E$2:$E$121,$B$2:$B$121,B32)</f>
        <v>1</v>
      </c>
    </row>
    <row r="33" customFormat="false" ht="15" hidden="false" customHeight="false" outlineLevel="0" collapsed="false">
      <c r="A33" s="0" t="n">
        <v>7032</v>
      </c>
      <c r="B33" s="0" t="n">
        <v>3025</v>
      </c>
      <c r="C33" s="0" t="n">
        <v>156500000</v>
      </c>
      <c r="D33" s="0" t="n">
        <v>0</v>
      </c>
      <c r="E33" s="0" t="n">
        <f aca="false">MATCH(D33,rules!$C$2:$C$6,1)</f>
        <v>1</v>
      </c>
      <c r="F33" s="0" t="n">
        <f aca="false">_xlfn.MAXIFS($E$2:$E$121,$B$2:$B$121,B33)</f>
        <v>3</v>
      </c>
    </row>
    <row r="34" customFormat="false" ht="15" hidden="false" customHeight="false" outlineLevel="0" collapsed="false">
      <c r="A34" s="0" t="n">
        <v>7033</v>
      </c>
      <c r="B34" s="0" t="n">
        <v>3025</v>
      </c>
      <c r="C34" s="0" t="n">
        <v>18800000</v>
      </c>
      <c r="D34" s="0" t="n">
        <v>0</v>
      </c>
      <c r="E34" s="0" t="n">
        <f aca="false">MATCH(D34,rules!$C$2:$C$6,1)</f>
        <v>1</v>
      </c>
      <c r="F34" s="0" t="n">
        <f aca="false">_xlfn.MAXIFS($E$2:$E$121,$B$2:$B$121,B34)</f>
        <v>3</v>
      </c>
    </row>
    <row r="35" customFormat="false" ht="15" hidden="false" customHeight="false" outlineLevel="0" collapsed="false">
      <c r="A35" s="0" t="n">
        <v>7034</v>
      </c>
      <c r="B35" s="0" t="n">
        <v>3007</v>
      </c>
      <c r="C35" s="0" t="n">
        <v>37600000</v>
      </c>
      <c r="D35" s="0" t="n">
        <v>426</v>
      </c>
      <c r="E35" s="0" t="n">
        <f aca="false">MATCH(D35,rules!$C$2:$C$6,1)</f>
        <v>5</v>
      </c>
      <c r="F35" s="0" t="n">
        <f aca="false">_xlfn.MAXIFS($E$2:$E$121,$B$2:$B$121,B35)</f>
        <v>5</v>
      </c>
    </row>
    <row r="36" customFormat="false" ht="15" hidden="false" customHeight="false" outlineLevel="0" collapsed="false">
      <c r="A36" s="0" t="n">
        <v>7035</v>
      </c>
      <c r="B36" s="0" t="n">
        <v>3016</v>
      </c>
      <c r="C36" s="0" t="n">
        <v>17200000</v>
      </c>
      <c r="D36" s="0" t="n">
        <v>0</v>
      </c>
      <c r="E36" s="0" t="n">
        <f aca="false">MATCH(D36,rules!$C$2:$C$6,1)</f>
        <v>1</v>
      </c>
      <c r="F36" s="0" t="n">
        <f aca="false">_xlfn.MAXIFS($E$2:$E$121,$B$2:$B$121,B36)</f>
        <v>4</v>
      </c>
    </row>
    <row r="37" customFormat="false" ht="15" hidden="false" customHeight="false" outlineLevel="0" collapsed="false">
      <c r="A37" s="0" t="n">
        <v>7036</v>
      </c>
      <c r="B37" s="0" t="n">
        <v>3011</v>
      </c>
      <c r="C37" s="0" t="n">
        <v>9600000</v>
      </c>
      <c r="D37" s="0" t="n">
        <v>0</v>
      </c>
      <c r="E37" s="0" t="n">
        <f aca="false">MATCH(D37,rules!$C$2:$C$6,1)</f>
        <v>1</v>
      </c>
      <c r="F37" s="0" t="n">
        <f aca="false">_xlfn.MAXIFS($E$2:$E$121,$B$2:$B$121,B37)</f>
        <v>1</v>
      </c>
    </row>
    <row r="38" customFormat="false" ht="15" hidden="false" customHeight="false" outlineLevel="0" collapsed="false">
      <c r="A38" s="0" t="n">
        <v>7037</v>
      </c>
      <c r="B38" s="0" t="n">
        <v>3032</v>
      </c>
      <c r="C38" s="0" t="n">
        <v>13100000</v>
      </c>
      <c r="D38" s="0" t="n">
        <v>0</v>
      </c>
      <c r="E38" s="0" t="n">
        <f aca="false">MATCH(D38,rules!$C$2:$C$6,1)</f>
        <v>1</v>
      </c>
      <c r="F38" s="0" t="n">
        <f aca="false">_xlfn.MAXIFS($E$2:$E$121,$B$2:$B$121,B38)</f>
        <v>1</v>
      </c>
    </row>
    <row r="39" customFormat="false" ht="15" hidden="false" customHeight="false" outlineLevel="0" collapsed="false">
      <c r="A39" s="0" t="n">
        <v>7038</v>
      </c>
      <c r="B39" s="0" t="n">
        <v>3009</v>
      </c>
      <c r="C39" s="0" t="n">
        <v>37900000</v>
      </c>
      <c r="D39" s="0" t="n">
        <v>0</v>
      </c>
      <c r="E39" s="0" t="n">
        <f aca="false">MATCH(D39,rules!$C$2:$C$6,1)</f>
        <v>1</v>
      </c>
      <c r="F39" s="0" t="n">
        <f aca="false">_xlfn.MAXIFS($E$2:$E$121,$B$2:$B$121,B39)</f>
        <v>1</v>
      </c>
    </row>
    <row r="40" customFormat="false" ht="15" hidden="false" customHeight="false" outlineLevel="0" collapsed="false">
      <c r="A40" s="0" t="n">
        <v>7039</v>
      </c>
      <c r="B40" s="0" t="n">
        <v>3052</v>
      </c>
      <c r="C40" s="0" t="n">
        <v>4200000</v>
      </c>
      <c r="D40" s="0" t="n">
        <v>121</v>
      </c>
      <c r="E40" s="0" t="n">
        <f aca="false">MATCH(D40,rules!$C$2:$C$6,1)</f>
        <v>3</v>
      </c>
      <c r="F40" s="0" t="n">
        <f aca="false">_xlfn.MAXIFS($E$2:$E$121,$B$2:$B$121,B40)</f>
        <v>3</v>
      </c>
    </row>
    <row r="41" customFormat="false" ht="15" hidden="false" customHeight="false" outlineLevel="0" collapsed="false">
      <c r="A41" s="0" t="n">
        <v>7040</v>
      </c>
      <c r="B41" s="0" t="n">
        <v>3066</v>
      </c>
      <c r="C41" s="0" t="n">
        <v>6100000</v>
      </c>
      <c r="D41" s="0" t="n">
        <v>91</v>
      </c>
      <c r="E41" s="0" t="n">
        <f aca="false">MATCH(D41,rules!$C$2:$C$6,1)</f>
        <v>3</v>
      </c>
      <c r="F41" s="0" t="n">
        <f aca="false">_xlfn.MAXIFS($E$2:$E$121,$B$2:$B$121,B41)</f>
        <v>3</v>
      </c>
    </row>
    <row r="42" customFormat="false" ht="15" hidden="false" customHeight="false" outlineLevel="0" collapsed="false">
      <c r="A42" s="0" t="n">
        <v>7041</v>
      </c>
      <c r="B42" s="0" t="n">
        <v>3005</v>
      </c>
      <c r="C42" s="0" t="n">
        <v>11400000</v>
      </c>
      <c r="D42" s="0" t="n">
        <v>0</v>
      </c>
      <c r="E42" s="0" t="n">
        <f aca="false">MATCH(D42,rules!$C$2:$C$6,1)</f>
        <v>1</v>
      </c>
      <c r="F42" s="0" t="n">
        <f aca="false">_xlfn.MAXIFS($E$2:$E$121,$B$2:$B$121,B42)</f>
        <v>4</v>
      </c>
    </row>
    <row r="43" customFormat="false" ht="15" hidden="false" customHeight="false" outlineLevel="0" collapsed="false">
      <c r="A43" s="0" t="n">
        <v>7042</v>
      </c>
      <c r="B43" s="0" t="n">
        <v>3050</v>
      </c>
      <c r="C43" s="0" t="n">
        <v>84700000</v>
      </c>
      <c r="D43" s="0" t="n">
        <v>57</v>
      </c>
      <c r="E43" s="0" t="n">
        <f aca="false">MATCH(D43,rules!$C$2:$C$6,1)</f>
        <v>2</v>
      </c>
      <c r="F43" s="0" t="n">
        <f aca="false">_xlfn.MAXIFS($E$2:$E$121,$B$2:$B$121,B43)</f>
        <v>2</v>
      </c>
    </row>
    <row r="44" customFormat="false" ht="15" hidden="false" customHeight="false" outlineLevel="0" collapsed="false">
      <c r="A44" s="0" t="n">
        <v>7043</v>
      </c>
      <c r="B44" s="0" t="n">
        <v>3054</v>
      </c>
      <c r="C44" s="0" t="n">
        <v>16800000</v>
      </c>
      <c r="D44" s="0" t="n">
        <v>0</v>
      </c>
      <c r="E44" s="0" t="n">
        <f aca="false">MATCH(D44,rules!$C$2:$C$6,1)</f>
        <v>1</v>
      </c>
      <c r="F44" s="0" t="n">
        <f aca="false">_xlfn.MAXIFS($E$2:$E$121,$B$2:$B$121,B44)</f>
        <v>1</v>
      </c>
    </row>
    <row r="45" customFormat="false" ht="15" hidden="false" customHeight="false" outlineLevel="0" collapsed="false">
      <c r="A45" s="0" t="n">
        <v>7044</v>
      </c>
      <c r="B45" s="0" t="n">
        <v>3029</v>
      </c>
      <c r="C45" s="0" t="n">
        <v>16900000</v>
      </c>
      <c r="D45" s="0" t="n">
        <v>17</v>
      </c>
      <c r="E45" s="0" t="n">
        <f aca="false">MATCH(D45,rules!$C$2:$C$6,1)</f>
        <v>2</v>
      </c>
      <c r="F45" s="0" t="n">
        <f aca="false">_xlfn.MAXIFS($E$2:$E$121,$B$2:$B$121,B45)</f>
        <v>2</v>
      </c>
    </row>
    <row r="46" customFormat="false" ht="15" hidden="false" customHeight="false" outlineLevel="0" collapsed="false">
      <c r="A46" s="0" t="n">
        <v>7045</v>
      </c>
      <c r="B46" s="0" t="n">
        <v>3006</v>
      </c>
      <c r="C46" s="0" t="n">
        <v>15500000</v>
      </c>
      <c r="D46" s="0" t="n">
        <v>0</v>
      </c>
      <c r="E46" s="0" t="n">
        <f aca="false">MATCH(D46,rules!$C$2:$C$6,1)</f>
        <v>1</v>
      </c>
      <c r="F46" s="0" t="n">
        <f aca="false">_xlfn.MAXIFS($E$2:$E$121,$B$2:$B$121,B46)</f>
        <v>3</v>
      </c>
    </row>
    <row r="47" customFormat="false" ht="15" hidden="false" customHeight="false" outlineLevel="0" collapsed="false">
      <c r="A47" s="0" t="n">
        <v>7046</v>
      </c>
      <c r="B47" s="0" t="n">
        <v>3012</v>
      </c>
      <c r="C47" s="0" t="n">
        <v>24200000</v>
      </c>
      <c r="D47" s="0" t="n">
        <v>0</v>
      </c>
      <c r="E47" s="0" t="n">
        <f aca="false">MATCH(D47,rules!$C$2:$C$6,1)</f>
        <v>1</v>
      </c>
      <c r="F47" s="0" t="n">
        <f aca="false">_xlfn.MAXIFS($E$2:$E$121,$B$2:$B$121,B47)</f>
        <v>1</v>
      </c>
    </row>
    <row r="48" customFormat="false" ht="15" hidden="false" customHeight="false" outlineLevel="0" collapsed="false">
      <c r="A48" s="0" t="n">
        <v>7047</v>
      </c>
      <c r="B48" s="0" t="n">
        <v>3029</v>
      </c>
      <c r="C48" s="0" t="n">
        <v>15900000</v>
      </c>
      <c r="D48" s="0" t="n">
        <v>0</v>
      </c>
      <c r="E48" s="0" t="n">
        <f aca="false">MATCH(D48,rules!$C$2:$C$6,1)</f>
        <v>1</v>
      </c>
      <c r="F48" s="0" t="n">
        <f aca="false">_xlfn.MAXIFS($E$2:$E$121,$B$2:$B$121,B48)</f>
        <v>2</v>
      </c>
    </row>
    <row r="49" customFormat="false" ht="15" hidden="false" customHeight="false" outlineLevel="0" collapsed="false">
      <c r="A49" s="0" t="n">
        <v>7048</v>
      </c>
      <c r="B49" s="0" t="n">
        <v>3005</v>
      </c>
      <c r="C49" s="0" t="n">
        <v>18900000</v>
      </c>
      <c r="D49" s="0" t="n">
        <v>360</v>
      </c>
      <c r="E49" s="0" t="n">
        <f aca="false">MATCH(D49,rules!$C$2:$C$6,1)</f>
        <v>4</v>
      </c>
      <c r="F49" s="0" t="n">
        <f aca="false">_xlfn.MAXIFS($E$2:$E$121,$B$2:$B$121,B49)</f>
        <v>4</v>
      </c>
    </row>
    <row r="50" customFormat="false" ht="15" hidden="false" customHeight="false" outlineLevel="0" collapsed="false">
      <c r="A50" s="0" t="n">
        <v>7049</v>
      </c>
      <c r="B50" s="0" t="n">
        <v>3038</v>
      </c>
      <c r="C50" s="0" t="n">
        <v>25700000</v>
      </c>
      <c r="D50" s="0" t="n">
        <v>0</v>
      </c>
      <c r="E50" s="0" t="n">
        <f aca="false">MATCH(D50,rules!$C$2:$C$6,1)</f>
        <v>1</v>
      </c>
      <c r="F50" s="0" t="n">
        <f aca="false">_xlfn.MAXIFS($E$2:$E$121,$B$2:$B$121,B50)</f>
        <v>2</v>
      </c>
    </row>
    <row r="51" customFormat="false" ht="15" hidden="false" customHeight="false" outlineLevel="0" collapsed="false">
      <c r="A51" s="0" t="n">
        <v>7050</v>
      </c>
      <c r="B51" s="0" t="n">
        <v>3070</v>
      </c>
      <c r="C51" s="0" t="n">
        <v>7600000</v>
      </c>
      <c r="D51" s="0" t="n">
        <v>361</v>
      </c>
      <c r="E51" s="0" t="n">
        <f aca="false">MATCH(D51,rules!$C$2:$C$6,1)</f>
        <v>5</v>
      </c>
      <c r="F51" s="0" t="n">
        <f aca="false">_xlfn.MAXIFS($E$2:$E$121,$B$2:$B$121,B51)</f>
        <v>5</v>
      </c>
    </row>
    <row r="52" customFormat="false" ht="15" hidden="false" customHeight="false" outlineLevel="0" collapsed="false">
      <c r="A52" s="0" t="n">
        <v>7051</v>
      </c>
      <c r="B52" s="0" t="n">
        <v>3025</v>
      </c>
      <c r="C52" s="0" t="n">
        <v>76400000</v>
      </c>
      <c r="D52" s="0" t="n">
        <v>180</v>
      </c>
      <c r="E52" s="0" t="n">
        <f aca="false">MATCH(D52,rules!$C$2:$C$6,1)</f>
        <v>3</v>
      </c>
      <c r="F52" s="0" t="n">
        <f aca="false">_xlfn.MAXIFS($E$2:$E$121,$B$2:$B$121,B52)</f>
        <v>3</v>
      </c>
    </row>
    <row r="53" customFormat="false" ht="15" hidden="false" customHeight="false" outlineLevel="0" collapsed="false">
      <c r="A53" s="0" t="n">
        <v>7052</v>
      </c>
      <c r="B53" s="0" t="n">
        <v>3068</v>
      </c>
      <c r="C53" s="0" t="n">
        <v>39400000</v>
      </c>
      <c r="D53" s="0" t="n">
        <v>40</v>
      </c>
      <c r="E53" s="0" t="n">
        <f aca="false">MATCH(D53,rules!$C$2:$C$6,1)</f>
        <v>2</v>
      </c>
      <c r="F53" s="0" t="n">
        <f aca="false">_xlfn.MAXIFS($E$2:$E$121,$B$2:$B$121,B53)</f>
        <v>2</v>
      </c>
    </row>
    <row r="54" customFormat="false" ht="15" hidden="false" customHeight="false" outlineLevel="0" collapsed="false">
      <c r="A54" s="0" t="n">
        <v>7053</v>
      </c>
      <c r="B54" s="0" t="n">
        <v>3003</v>
      </c>
      <c r="C54" s="0" t="n">
        <v>17200000</v>
      </c>
      <c r="D54" s="0" t="n">
        <v>0</v>
      </c>
      <c r="E54" s="0" t="n">
        <f aca="false">MATCH(D54,rules!$C$2:$C$6,1)</f>
        <v>1</v>
      </c>
      <c r="F54" s="0" t="n">
        <f aca="false">_xlfn.MAXIFS($E$2:$E$121,$B$2:$B$121,B54)</f>
        <v>1</v>
      </c>
    </row>
    <row r="55" customFormat="false" ht="15" hidden="false" customHeight="false" outlineLevel="0" collapsed="false">
      <c r="A55" s="0" t="n">
        <v>7054</v>
      </c>
      <c r="B55" s="0" t="n">
        <v>3016</v>
      </c>
      <c r="C55" s="0" t="n">
        <v>23600000</v>
      </c>
      <c r="D55" s="0" t="n">
        <v>0</v>
      </c>
      <c r="E55" s="0" t="n">
        <f aca="false">MATCH(D55,rules!$C$2:$C$6,1)</f>
        <v>1</v>
      </c>
      <c r="F55" s="0" t="n">
        <f aca="false">_xlfn.MAXIFS($E$2:$E$121,$B$2:$B$121,B55)</f>
        <v>4</v>
      </c>
    </row>
    <row r="56" customFormat="false" ht="15" hidden="false" customHeight="false" outlineLevel="0" collapsed="false">
      <c r="A56" s="0" t="n">
        <v>7055</v>
      </c>
      <c r="B56" s="0" t="n">
        <v>3015</v>
      </c>
      <c r="C56" s="0" t="n">
        <v>5700000</v>
      </c>
      <c r="D56" s="0" t="n">
        <v>0</v>
      </c>
      <c r="E56" s="0" t="n">
        <f aca="false">MATCH(D56,rules!$C$2:$C$6,1)</f>
        <v>1</v>
      </c>
      <c r="F56" s="0" t="n">
        <f aca="false">_xlfn.MAXIFS($E$2:$E$121,$B$2:$B$121,B56)</f>
        <v>1</v>
      </c>
    </row>
    <row r="57" customFormat="false" ht="15" hidden="false" customHeight="false" outlineLevel="0" collapsed="false">
      <c r="A57" s="0" t="n">
        <v>7056</v>
      </c>
      <c r="B57" s="0" t="n">
        <v>3007</v>
      </c>
      <c r="C57" s="0" t="n">
        <v>34800000</v>
      </c>
      <c r="D57" s="0" t="n">
        <v>120</v>
      </c>
      <c r="E57" s="0" t="n">
        <f aca="false">MATCH(D57,rules!$C$2:$C$6,1)</f>
        <v>3</v>
      </c>
      <c r="F57" s="0" t="n">
        <f aca="false">_xlfn.MAXIFS($E$2:$E$121,$B$2:$B$121,B57)</f>
        <v>5</v>
      </c>
    </row>
    <row r="58" customFormat="false" ht="15" hidden="false" customHeight="false" outlineLevel="0" collapsed="false">
      <c r="A58" s="0" t="n">
        <v>7057</v>
      </c>
      <c r="B58" s="0" t="n">
        <v>3019</v>
      </c>
      <c r="C58" s="0" t="n">
        <v>8900000</v>
      </c>
      <c r="D58" s="0" t="n">
        <v>34</v>
      </c>
      <c r="E58" s="0" t="n">
        <f aca="false">MATCH(D58,rules!$C$2:$C$6,1)</f>
        <v>2</v>
      </c>
      <c r="F58" s="0" t="n">
        <f aca="false">_xlfn.MAXIFS($E$2:$E$121,$B$2:$B$121,B58)</f>
        <v>2</v>
      </c>
    </row>
    <row r="59" customFormat="false" ht="15" hidden="false" customHeight="false" outlineLevel="0" collapsed="false">
      <c r="A59" s="0" t="n">
        <v>7058</v>
      </c>
      <c r="B59" s="0" t="n">
        <v>3043</v>
      </c>
      <c r="C59" s="0" t="n">
        <v>23300000</v>
      </c>
      <c r="D59" s="0" t="n">
        <v>0</v>
      </c>
      <c r="E59" s="0" t="n">
        <f aca="false">MATCH(D59,rules!$C$2:$C$6,1)</f>
        <v>1</v>
      </c>
      <c r="F59" s="0" t="n">
        <f aca="false">_xlfn.MAXIFS($E$2:$E$121,$B$2:$B$121,B59)</f>
        <v>1</v>
      </c>
    </row>
    <row r="60" customFormat="false" ht="15" hidden="false" customHeight="false" outlineLevel="0" collapsed="false">
      <c r="A60" s="0" t="n">
        <v>7059</v>
      </c>
      <c r="B60" s="0" t="n">
        <v>3044</v>
      </c>
      <c r="C60" s="0" t="n">
        <v>7800000</v>
      </c>
      <c r="D60" s="0" t="n">
        <v>0</v>
      </c>
      <c r="E60" s="0" t="n">
        <f aca="false">MATCH(D60,rules!$C$2:$C$6,1)</f>
        <v>1</v>
      </c>
      <c r="F60" s="0" t="n">
        <f aca="false">_xlfn.MAXIFS($E$2:$E$121,$B$2:$B$121,B60)</f>
        <v>1</v>
      </c>
    </row>
    <row r="61" customFormat="false" ht="15" hidden="false" customHeight="false" outlineLevel="0" collapsed="false">
      <c r="A61" s="0" t="n">
        <v>7060</v>
      </c>
      <c r="B61" s="0" t="n">
        <v>3069</v>
      </c>
      <c r="C61" s="0" t="n">
        <v>9600000</v>
      </c>
      <c r="D61" s="0" t="n">
        <v>67</v>
      </c>
      <c r="E61" s="0" t="n">
        <f aca="false">MATCH(D61,rules!$C$2:$C$6,1)</f>
        <v>2</v>
      </c>
      <c r="F61" s="0" t="n">
        <f aca="false">_xlfn.MAXIFS($E$2:$E$121,$B$2:$B$121,B61)</f>
        <v>2</v>
      </c>
    </row>
    <row r="62" customFormat="false" ht="15" hidden="false" customHeight="false" outlineLevel="0" collapsed="false">
      <c r="A62" s="0" t="n">
        <v>7061</v>
      </c>
      <c r="B62" s="0" t="n">
        <v>3036</v>
      </c>
      <c r="C62" s="0" t="n">
        <v>20400000</v>
      </c>
      <c r="D62" s="0" t="n">
        <v>2</v>
      </c>
      <c r="E62" s="0" t="n">
        <f aca="false">MATCH(D62,rules!$C$2:$C$6,1)</f>
        <v>1</v>
      </c>
      <c r="F62" s="0" t="n">
        <f aca="false">_xlfn.MAXIFS($E$2:$E$121,$B$2:$B$121,B62)</f>
        <v>1</v>
      </c>
    </row>
    <row r="63" customFormat="false" ht="15" hidden="false" customHeight="false" outlineLevel="0" collapsed="false">
      <c r="A63" s="0" t="n">
        <v>7062</v>
      </c>
      <c r="B63" s="0" t="n">
        <v>3035</v>
      </c>
      <c r="C63" s="0" t="n">
        <v>2900000</v>
      </c>
      <c r="D63" s="0" t="n">
        <v>0</v>
      </c>
      <c r="E63" s="0" t="n">
        <f aca="false">MATCH(D63,rules!$C$2:$C$6,1)</f>
        <v>1</v>
      </c>
      <c r="F63" s="0" t="n">
        <f aca="false">_xlfn.MAXIFS($E$2:$E$121,$B$2:$B$121,B63)</f>
        <v>1</v>
      </c>
    </row>
    <row r="64" customFormat="false" ht="15" hidden="false" customHeight="false" outlineLevel="0" collapsed="false">
      <c r="A64" s="0" t="n">
        <v>7063</v>
      </c>
      <c r="B64" s="0" t="n">
        <v>3038</v>
      </c>
      <c r="C64" s="0" t="n">
        <v>77500000</v>
      </c>
      <c r="D64" s="0" t="n">
        <v>0</v>
      </c>
      <c r="E64" s="0" t="n">
        <f aca="false">MATCH(D64,rules!$C$2:$C$6,1)</f>
        <v>1</v>
      </c>
      <c r="F64" s="0" t="n">
        <f aca="false">_xlfn.MAXIFS($E$2:$E$121,$B$2:$B$121,B64)</f>
        <v>2</v>
      </c>
    </row>
    <row r="65" customFormat="false" ht="15" hidden="false" customHeight="false" outlineLevel="0" collapsed="false">
      <c r="A65" s="0" t="n">
        <v>7064</v>
      </c>
      <c r="B65" s="0" t="n">
        <v>3017</v>
      </c>
      <c r="C65" s="0" t="n">
        <v>33100000</v>
      </c>
      <c r="D65" s="0" t="n">
        <v>0</v>
      </c>
      <c r="E65" s="0" t="n">
        <f aca="false">MATCH(D65,rules!$C$2:$C$6,1)</f>
        <v>1</v>
      </c>
      <c r="F65" s="0" t="n">
        <f aca="false">_xlfn.MAXIFS($E$2:$E$121,$B$2:$B$121,B65)</f>
        <v>3</v>
      </c>
    </row>
    <row r="66" customFormat="false" ht="15" hidden="false" customHeight="false" outlineLevel="0" collapsed="false">
      <c r="A66" s="0" t="n">
        <v>7065</v>
      </c>
      <c r="B66" s="0" t="n">
        <v>3051</v>
      </c>
      <c r="C66" s="0" t="n">
        <v>12600000</v>
      </c>
      <c r="D66" s="0" t="n">
        <v>0</v>
      </c>
      <c r="E66" s="0" t="n">
        <f aca="false">MATCH(D66,rules!$C$2:$C$6,1)</f>
        <v>1</v>
      </c>
      <c r="F66" s="0" t="n">
        <f aca="false">_xlfn.MAXIFS($E$2:$E$121,$B$2:$B$121,B66)</f>
        <v>1</v>
      </c>
    </row>
    <row r="67" customFormat="false" ht="15" hidden="false" customHeight="false" outlineLevel="0" collapsed="false">
      <c r="A67" s="0" t="n">
        <v>7066</v>
      </c>
      <c r="B67" s="0" t="n">
        <v>3038</v>
      </c>
      <c r="C67" s="0" t="n">
        <v>71900000</v>
      </c>
      <c r="D67" s="0" t="n">
        <v>22</v>
      </c>
      <c r="E67" s="0" t="n">
        <f aca="false">MATCH(D67,rules!$C$2:$C$6,1)</f>
        <v>2</v>
      </c>
      <c r="F67" s="0" t="n">
        <f aca="false">_xlfn.MAXIFS($E$2:$E$121,$B$2:$B$121,B67)</f>
        <v>2</v>
      </c>
    </row>
    <row r="68" customFormat="false" ht="15" hidden="false" customHeight="false" outlineLevel="0" collapsed="false">
      <c r="A68" s="0" t="n">
        <v>7067</v>
      </c>
      <c r="B68" s="0" t="n">
        <v>3013</v>
      </c>
      <c r="C68" s="0" t="n">
        <v>126600000</v>
      </c>
      <c r="D68" s="0" t="n">
        <v>0</v>
      </c>
      <c r="E68" s="0" t="n">
        <f aca="false">MATCH(D68,rules!$C$2:$C$6,1)</f>
        <v>1</v>
      </c>
      <c r="F68" s="0" t="n">
        <f aca="false">_xlfn.MAXIFS($E$2:$E$121,$B$2:$B$121,B68)</f>
        <v>1</v>
      </c>
    </row>
    <row r="69" customFormat="false" ht="15" hidden="false" customHeight="false" outlineLevel="0" collapsed="false">
      <c r="A69" s="0" t="n">
        <v>7068</v>
      </c>
      <c r="B69" s="0" t="n">
        <v>3039</v>
      </c>
      <c r="C69" s="0" t="n">
        <v>13500000</v>
      </c>
      <c r="D69" s="0" t="n">
        <v>0</v>
      </c>
      <c r="E69" s="0" t="n">
        <f aca="false">MATCH(D69,rules!$C$2:$C$6,1)</f>
        <v>1</v>
      </c>
      <c r="F69" s="0" t="n">
        <f aca="false">_xlfn.MAXIFS($E$2:$E$121,$B$2:$B$121,B69)</f>
        <v>4</v>
      </c>
    </row>
    <row r="70" customFormat="false" ht="15" hidden="false" customHeight="false" outlineLevel="0" collapsed="false">
      <c r="A70" s="0" t="n">
        <v>7069</v>
      </c>
      <c r="B70" s="0" t="n">
        <v>3005</v>
      </c>
      <c r="C70" s="0" t="n">
        <v>99700000</v>
      </c>
      <c r="D70" s="0" t="n">
        <v>0</v>
      </c>
      <c r="E70" s="0" t="n">
        <f aca="false">MATCH(D70,rules!$C$2:$C$6,1)</f>
        <v>1</v>
      </c>
      <c r="F70" s="0" t="n">
        <f aca="false">_xlfn.MAXIFS($E$2:$E$121,$B$2:$B$121,B70)</f>
        <v>4</v>
      </c>
    </row>
    <row r="71" customFormat="false" ht="15" hidden="false" customHeight="false" outlineLevel="0" collapsed="false">
      <c r="A71" s="0" t="n">
        <v>7070</v>
      </c>
      <c r="B71" s="0" t="n">
        <v>3030</v>
      </c>
      <c r="C71" s="0" t="n">
        <v>22500000</v>
      </c>
      <c r="D71" s="0" t="n">
        <v>0</v>
      </c>
      <c r="E71" s="0" t="n">
        <f aca="false">MATCH(D71,rules!$C$2:$C$6,1)</f>
        <v>1</v>
      </c>
      <c r="F71" s="0" t="n">
        <f aca="false">_xlfn.MAXIFS($E$2:$E$121,$B$2:$B$121,B71)</f>
        <v>1</v>
      </c>
    </row>
    <row r="72" customFormat="false" ht="15" hidden="false" customHeight="false" outlineLevel="0" collapsed="false">
      <c r="A72" s="0" t="n">
        <v>7071</v>
      </c>
      <c r="B72" s="0" t="n">
        <v>3023</v>
      </c>
      <c r="C72" s="0" t="n">
        <v>21400000</v>
      </c>
      <c r="D72" s="0" t="n">
        <v>90</v>
      </c>
      <c r="E72" s="0" t="n">
        <f aca="false">MATCH(D72,rules!$C$2:$C$6,1)</f>
        <v>2</v>
      </c>
      <c r="F72" s="0" t="n">
        <f aca="false">_xlfn.MAXIFS($E$2:$E$121,$B$2:$B$121,B72)</f>
        <v>2</v>
      </c>
    </row>
    <row r="73" customFormat="false" ht="15" hidden="false" customHeight="false" outlineLevel="0" collapsed="false">
      <c r="A73" s="0" t="n">
        <v>7072</v>
      </c>
      <c r="B73" s="0" t="n">
        <v>3048</v>
      </c>
      <c r="C73" s="0" t="n">
        <v>13600000</v>
      </c>
      <c r="D73" s="0" t="n">
        <v>9</v>
      </c>
      <c r="E73" s="0" t="n">
        <f aca="false">MATCH(D73,rules!$C$2:$C$6,1)</f>
        <v>1</v>
      </c>
      <c r="F73" s="0" t="n">
        <f aca="false">_xlfn.MAXIFS($E$2:$E$121,$B$2:$B$121,B73)</f>
        <v>1</v>
      </c>
    </row>
    <row r="74" customFormat="false" ht="15" hidden="false" customHeight="false" outlineLevel="0" collapsed="false">
      <c r="A74" s="0" t="n">
        <v>7073</v>
      </c>
      <c r="B74" s="0" t="n">
        <v>3059</v>
      </c>
      <c r="C74" s="0" t="n">
        <v>105000000</v>
      </c>
      <c r="D74" s="0" t="n">
        <v>0</v>
      </c>
      <c r="E74" s="0" t="n">
        <f aca="false">MATCH(D74,rules!$C$2:$C$6,1)</f>
        <v>1</v>
      </c>
      <c r="F74" s="0" t="n">
        <f aca="false">_xlfn.MAXIFS($E$2:$E$121,$B$2:$B$121,B74)</f>
        <v>1</v>
      </c>
    </row>
    <row r="75" customFormat="false" ht="15" hidden="false" customHeight="false" outlineLevel="0" collapsed="false">
      <c r="A75" s="0" t="n">
        <v>7074</v>
      </c>
      <c r="B75" s="0" t="n">
        <v>3027</v>
      </c>
      <c r="C75" s="0" t="n">
        <v>20000000</v>
      </c>
      <c r="D75" s="0" t="n">
        <v>0</v>
      </c>
      <c r="E75" s="0" t="n">
        <f aca="false">MATCH(D75,rules!$C$2:$C$6,1)</f>
        <v>1</v>
      </c>
      <c r="F75" s="0" t="n">
        <f aca="false">_xlfn.MAXIFS($E$2:$E$121,$B$2:$B$121,B75)</f>
        <v>4</v>
      </c>
    </row>
    <row r="76" customFormat="false" ht="15" hidden="false" customHeight="false" outlineLevel="0" collapsed="false">
      <c r="A76" s="0" t="n">
        <v>7075</v>
      </c>
      <c r="B76" s="0" t="n">
        <v>3002</v>
      </c>
      <c r="C76" s="0" t="n">
        <v>12400000</v>
      </c>
      <c r="D76" s="0" t="n">
        <v>211</v>
      </c>
      <c r="E76" s="0" t="n">
        <f aca="false">MATCH(D76,rules!$C$2:$C$6,1)</f>
        <v>4</v>
      </c>
      <c r="F76" s="0" t="n">
        <f aca="false">_xlfn.MAXIFS($E$2:$E$121,$B$2:$B$121,B76)</f>
        <v>4</v>
      </c>
    </row>
    <row r="77" customFormat="false" ht="15" hidden="false" customHeight="false" outlineLevel="0" collapsed="false">
      <c r="A77" s="0" t="n">
        <v>7076</v>
      </c>
      <c r="B77" s="0" t="n">
        <v>3028</v>
      </c>
      <c r="C77" s="0" t="n">
        <v>33200000</v>
      </c>
      <c r="D77" s="0" t="n">
        <v>61</v>
      </c>
      <c r="E77" s="0" t="n">
        <f aca="false">MATCH(D77,rules!$C$2:$C$6,1)</f>
        <v>2</v>
      </c>
      <c r="F77" s="0" t="n">
        <f aca="false">_xlfn.MAXIFS($E$2:$E$121,$B$2:$B$121,B77)</f>
        <v>2</v>
      </c>
    </row>
    <row r="78" customFormat="false" ht="15" hidden="false" customHeight="false" outlineLevel="0" collapsed="false">
      <c r="A78" s="0" t="n">
        <v>7077</v>
      </c>
      <c r="B78" s="0" t="n">
        <v>3001</v>
      </c>
      <c r="C78" s="0" t="n">
        <v>9000000</v>
      </c>
      <c r="D78" s="0" t="n">
        <v>23</v>
      </c>
      <c r="E78" s="0" t="n">
        <f aca="false">MATCH(D78,rules!$C$2:$C$6,1)</f>
        <v>2</v>
      </c>
      <c r="F78" s="0" t="n">
        <f aca="false">_xlfn.MAXIFS($E$2:$E$121,$B$2:$B$121,B78)</f>
        <v>2</v>
      </c>
    </row>
    <row r="79" customFormat="false" ht="15" hidden="false" customHeight="false" outlineLevel="0" collapsed="false">
      <c r="A79" s="0" t="n">
        <v>7078</v>
      </c>
      <c r="B79" s="0" t="n">
        <v>3009</v>
      </c>
      <c r="C79" s="0" t="n">
        <v>5700000</v>
      </c>
      <c r="D79" s="0" t="n">
        <v>4</v>
      </c>
      <c r="E79" s="0" t="n">
        <f aca="false">MATCH(D79,rules!$C$2:$C$6,1)</f>
        <v>1</v>
      </c>
      <c r="F79" s="0" t="n">
        <f aca="false">_xlfn.MAXIFS($E$2:$E$121,$B$2:$B$121,B79)</f>
        <v>1</v>
      </c>
    </row>
    <row r="80" customFormat="false" ht="15" hidden="false" customHeight="false" outlineLevel="0" collapsed="false">
      <c r="A80" s="0" t="n">
        <v>7079</v>
      </c>
      <c r="B80" s="0" t="n">
        <v>3028</v>
      </c>
      <c r="C80" s="0" t="n">
        <v>94500000</v>
      </c>
      <c r="D80" s="0" t="n">
        <v>0</v>
      </c>
      <c r="E80" s="0" t="n">
        <f aca="false">MATCH(D80,rules!$C$2:$C$6,1)</f>
        <v>1</v>
      </c>
      <c r="F80" s="0" t="n">
        <f aca="false">_xlfn.MAXIFS($E$2:$E$121,$B$2:$B$121,B80)</f>
        <v>2</v>
      </c>
    </row>
    <row r="81" customFormat="false" ht="15" hidden="false" customHeight="false" outlineLevel="0" collapsed="false">
      <c r="A81" s="0" t="n">
        <v>7080</v>
      </c>
      <c r="B81" s="0" t="n">
        <v>3020</v>
      </c>
      <c r="C81" s="0" t="n">
        <v>28000000</v>
      </c>
      <c r="D81" s="0" t="n">
        <v>0</v>
      </c>
      <c r="E81" s="0" t="n">
        <f aca="false">MATCH(D81,rules!$C$2:$C$6,1)</f>
        <v>1</v>
      </c>
      <c r="F81" s="0" t="n">
        <f aca="false">_xlfn.MAXIFS($E$2:$E$121,$B$2:$B$121,B81)</f>
        <v>1</v>
      </c>
    </row>
    <row r="82" customFormat="false" ht="15" hidden="false" customHeight="false" outlineLevel="0" collapsed="false">
      <c r="A82" s="0" t="n">
        <v>7081</v>
      </c>
      <c r="B82" s="0" t="n">
        <v>3005</v>
      </c>
      <c r="C82" s="0" t="n">
        <v>21800000</v>
      </c>
      <c r="D82" s="0" t="n">
        <v>0</v>
      </c>
      <c r="E82" s="0" t="n">
        <f aca="false">MATCH(D82,rules!$C$2:$C$6,1)</f>
        <v>1</v>
      </c>
      <c r="F82" s="0" t="n">
        <f aca="false">_xlfn.MAXIFS($E$2:$E$121,$B$2:$B$121,B82)</f>
        <v>4</v>
      </c>
    </row>
    <row r="83" customFormat="false" ht="15" hidden="false" customHeight="false" outlineLevel="0" collapsed="false">
      <c r="A83" s="0" t="n">
        <v>7082</v>
      </c>
      <c r="B83" s="0" t="n">
        <v>3005</v>
      </c>
      <c r="C83" s="0" t="n">
        <v>107500000</v>
      </c>
      <c r="D83" s="0" t="n">
        <v>0</v>
      </c>
      <c r="E83" s="0" t="n">
        <f aca="false">MATCH(D83,rules!$C$2:$C$6,1)</f>
        <v>1</v>
      </c>
      <c r="F83" s="0" t="n">
        <f aca="false">_xlfn.MAXIFS($E$2:$E$121,$B$2:$B$121,B83)</f>
        <v>4</v>
      </c>
    </row>
    <row r="84" customFormat="false" ht="15" hidden="false" customHeight="false" outlineLevel="0" collapsed="false">
      <c r="A84" s="0" t="n">
        <v>7083</v>
      </c>
      <c r="B84" s="0" t="n">
        <v>3031</v>
      </c>
      <c r="C84" s="0" t="n">
        <v>25700000</v>
      </c>
      <c r="D84" s="0" t="n">
        <v>0</v>
      </c>
      <c r="E84" s="0" t="n">
        <f aca="false">MATCH(D84,rules!$C$2:$C$6,1)</f>
        <v>1</v>
      </c>
      <c r="F84" s="0" t="n">
        <f aca="false">_xlfn.MAXIFS($E$2:$E$121,$B$2:$B$121,B84)</f>
        <v>1</v>
      </c>
    </row>
    <row r="85" customFormat="false" ht="15" hidden="false" customHeight="false" outlineLevel="0" collapsed="false">
      <c r="A85" s="0" t="n">
        <v>7084</v>
      </c>
      <c r="B85" s="0" t="n">
        <v>3058</v>
      </c>
      <c r="C85" s="0" t="n">
        <v>51000000</v>
      </c>
      <c r="D85" s="0" t="n">
        <v>0</v>
      </c>
      <c r="E85" s="0" t="n">
        <f aca="false">MATCH(D85,rules!$C$2:$C$6,1)</f>
        <v>1</v>
      </c>
      <c r="F85" s="0" t="n">
        <f aca="false">_xlfn.MAXIFS($E$2:$E$121,$B$2:$B$121,B85)</f>
        <v>1</v>
      </c>
    </row>
    <row r="86" customFormat="false" ht="15" hidden="false" customHeight="false" outlineLevel="0" collapsed="false">
      <c r="A86" s="0" t="n">
        <v>7085</v>
      </c>
      <c r="B86" s="0" t="n">
        <v>3035</v>
      </c>
      <c r="C86" s="0" t="n">
        <v>12500000</v>
      </c>
      <c r="D86" s="0" t="n">
        <v>0</v>
      </c>
      <c r="E86" s="0" t="n">
        <f aca="false">MATCH(D86,rules!$C$2:$C$6,1)</f>
        <v>1</v>
      </c>
      <c r="F86" s="0" t="n">
        <f aca="false">_xlfn.MAXIFS($E$2:$E$121,$B$2:$B$121,B86)</f>
        <v>1</v>
      </c>
    </row>
    <row r="87" customFormat="false" ht="15" hidden="false" customHeight="false" outlineLevel="0" collapsed="false">
      <c r="A87" s="0" t="n">
        <v>7086</v>
      </c>
      <c r="B87" s="0" t="n">
        <v>3041</v>
      </c>
      <c r="C87" s="0" t="n">
        <v>6500000</v>
      </c>
      <c r="D87" s="0" t="n">
        <v>0</v>
      </c>
      <c r="E87" s="0" t="n">
        <f aca="false">MATCH(D87,rules!$C$2:$C$6,1)</f>
        <v>1</v>
      </c>
      <c r="F87" s="0" t="n">
        <f aca="false">_xlfn.MAXIFS($E$2:$E$121,$B$2:$B$121,B87)</f>
        <v>1</v>
      </c>
    </row>
    <row r="88" customFormat="false" ht="15" hidden="false" customHeight="false" outlineLevel="0" collapsed="false">
      <c r="A88" s="0" t="n">
        <v>7087</v>
      </c>
      <c r="B88" s="0" t="n">
        <v>3032</v>
      </c>
      <c r="C88" s="0" t="n">
        <v>21700000</v>
      </c>
      <c r="D88" s="0" t="n">
        <v>0</v>
      </c>
      <c r="E88" s="0" t="n">
        <f aca="false">MATCH(D88,rules!$C$2:$C$6,1)</f>
        <v>1</v>
      </c>
      <c r="F88" s="0" t="n">
        <f aca="false">_xlfn.MAXIFS($E$2:$E$121,$B$2:$B$121,B88)</f>
        <v>1</v>
      </c>
    </row>
    <row r="89" customFormat="false" ht="15" hidden="false" customHeight="false" outlineLevel="0" collapsed="false">
      <c r="A89" s="0" t="n">
        <v>7088</v>
      </c>
      <c r="B89" s="0" t="n">
        <v>3055</v>
      </c>
      <c r="C89" s="0" t="n">
        <v>53700000</v>
      </c>
      <c r="D89" s="0" t="n">
        <v>0</v>
      </c>
      <c r="E89" s="0" t="n">
        <f aca="false">MATCH(D89,rules!$C$2:$C$6,1)</f>
        <v>1</v>
      </c>
      <c r="F89" s="0" t="n">
        <f aca="false">_xlfn.MAXIFS($E$2:$E$121,$B$2:$B$121,B89)</f>
        <v>1</v>
      </c>
    </row>
    <row r="90" customFormat="false" ht="15" hidden="false" customHeight="false" outlineLevel="0" collapsed="false">
      <c r="A90" s="0" t="n">
        <v>7089</v>
      </c>
      <c r="B90" s="0" t="n">
        <v>3021</v>
      </c>
      <c r="C90" s="0" t="n">
        <v>31400000</v>
      </c>
      <c r="D90" s="0" t="n">
        <v>0</v>
      </c>
      <c r="E90" s="0" t="n">
        <f aca="false">MATCH(D90,rules!$C$2:$C$6,1)</f>
        <v>1</v>
      </c>
      <c r="F90" s="0" t="n">
        <f aca="false">_xlfn.MAXIFS($E$2:$E$121,$B$2:$B$121,B90)</f>
        <v>2</v>
      </c>
    </row>
    <row r="91" customFormat="false" ht="15" hidden="false" customHeight="false" outlineLevel="0" collapsed="false">
      <c r="A91" s="0" t="n">
        <v>7090</v>
      </c>
      <c r="B91" s="0" t="n">
        <v>3036</v>
      </c>
      <c r="C91" s="0" t="n">
        <v>118600000</v>
      </c>
      <c r="D91" s="0" t="n">
        <v>0</v>
      </c>
      <c r="E91" s="0" t="n">
        <f aca="false">MATCH(D91,rules!$C$2:$C$6,1)</f>
        <v>1</v>
      </c>
      <c r="F91" s="0" t="n">
        <f aca="false">_xlfn.MAXIFS($E$2:$E$121,$B$2:$B$121,B91)</f>
        <v>1</v>
      </c>
    </row>
    <row r="92" customFormat="false" ht="15" hidden="false" customHeight="false" outlineLevel="0" collapsed="false">
      <c r="A92" s="0" t="n">
        <v>7091</v>
      </c>
      <c r="B92" s="0" t="n">
        <v>3016</v>
      </c>
      <c r="C92" s="0" t="n">
        <v>37600000</v>
      </c>
      <c r="D92" s="0" t="n">
        <v>210</v>
      </c>
      <c r="E92" s="0" t="n">
        <f aca="false">MATCH(D92,rules!$C$2:$C$6,1)</f>
        <v>4</v>
      </c>
      <c r="F92" s="0" t="n">
        <f aca="false">_xlfn.MAXIFS($E$2:$E$121,$B$2:$B$121,B92)</f>
        <v>4</v>
      </c>
    </row>
    <row r="93" customFormat="false" ht="15" hidden="false" customHeight="false" outlineLevel="0" collapsed="false">
      <c r="A93" s="0" t="n">
        <v>7092</v>
      </c>
      <c r="B93" s="0" t="n">
        <v>3018</v>
      </c>
      <c r="C93" s="0" t="n">
        <v>34100000</v>
      </c>
      <c r="D93" s="0" t="n">
        <v>0</v>
      </c>
      <c r="E93" s="0" t="n">
        <f aca="false">MATCH(D93,rules!$C$2:$C$6,1)</f>
        <v>1</v>
      </c>
      <c r="F93" s="0" t="n">
        <f aca="false">_xlfn.MAXIFS($E$2:$E$121,$B$2:$B$121,B93)</f>
        <v>1</v>
      </c>
    </row>
    <row r="94" customFormat="false" ht="15" hidden="false" customHeight="false" outlineLevel="0" collapsed="false">
      <c r="A94" s="0" t="n">
        <v>7093</v>
      </c>
      <c r="B94" s="0" t="n">
        <v>3026</v>
      </c>
      <c r="C94" s="0" t="n">
        <v>94000000</v>
      </c>
      <c r="D94" s="0" t="n">
        <v>0</v>
      </c>
      <c r="E94" s="0" t="n">
        <f aca="false">MATCH(D94,rules!$C$2:$C$6,1)</f>
        <v>1</v>
      </c>
      <c r="F94" s="0" t="n">
        <f aca="false">_xlfn.MAXIFS($E$2:$E$121,$B$2:$B$121,B94)</f>
        <v>1</v>
      </c>
    </row>
    <row r="95" customFormat="false" ht="15" hidden="false" customHeight="false" outlineLevel="0" collapsed="false">
      <c r="A95" s="0" t="n">
        <v>7094</v>
      </c>
      <c r="B95" s="0" t="n">
        <v>3062</v>
      </c>
      <c r="C95" s="0" t="n">
        <v>17500000</v>
      </c>
      <c r="D95" s="0" t="n">
        <v>9</v>
      </c>
      <c r="E95" s="0" t="n">
        <f aca="false">MATCH(D95,rules!$C$2:$C$6,1)</f>
        <v>1</v>
      </c>
      <c r="F95" s="0" t="n">
        <f aca="false">_xlfn.MAXIFS($E$2:$E$121,$B$2:$B$121,B95)</f>
        <v>1</v>
      </c>
    </row>
    <row r="96" customFormat="false" ht="15" hidden="false" customHeight="false" outlineLevel="0" collapsed="false">
      <c r="A96" s="0" t="n">
        <v>7095</v>
      </c>
      <c r="B96" s="0" t="n">
        <v>3008</v>
      </c>
      <c r="C96" s="0" t="n">
        <v>19300000</v>
      </c>
      <c r="D96" s="0" t="n">
        <v>0</v>
      </c>
      <c r="E96" s="0" t="n">
        <f aca="false">MATCH(D96,rules!$C$2:$C$6,1)</f>
        <v>1</v>
      </c>
      <c r="F96" s="0" t="n">
        <f aca="false">_xlfn.MAXIFS($E$2:$E$121,$B$2:$B$121,B96)</f>
        <v>1</v>
      </c>
    </row>
    <row r="97" customFormat="false" ht="15" hidden="false" customHeight="false" outlineLevel="0" collapsed="false">
      <c r="A97" s="0" t="n">
        <v>7096</v>
      </c>
      <c r="B97" s="0" t="n">
        <v>3009</v>
      </c>
      <c r="C97" s="0" t="n">
        <v>61600000</v>
      </c>
      <c r="D97" s="0" t="n">
        <v>0</v>
      </c>
      <c r="E97" s="0" t="n">
        <f aca="false">MATCH(D97,rules!$C$2:$C$6,1)</f>
        <v>1</v>
      </c>
      <c r="F97" s="0" t="n">
        <f aca="false">_xlfn.MAXIFS($E$2:$E$121,$B$2:$B$121,B97)</f>
        <v>1</v>
      </c>
    </row>
    <row r="98" customFormat="false" ht="15" hidden="false" customHeight="false" outlineLevel="0" collapsed="false">
      <c r="A98" s="0" t="n">
        <v>7097</v>
      </c>
      <c r="B98" s="0" t="n">
        <v>3032</v>
      </c>
      <c r="C98" s="0" t="n">
        <v>40900000</v>
      </c>
      <c r="D98" s="0" t="n">
        <v>0</v>
      </c>
      <c r="E98" s="0" t="n">
        <f aca="false">MATCH(D98,rules!$C$2:$C$6,1)</f>
        <v>1</v>
      </c>
      <c r="F98" s="0" t="n">
        <f aca="false">_xlfn.MAXIFS($E$2:$E$121,$B$2:$B$121,B98)</f>
        <v>1</v>
      </c>
    </row>
    <row r="99" customFormat="false" ht="15" hidden="false" customHeight="false" outlineLevel="0" collapsed="false">
      <c r="A99" s="0" t="n">
        <v>7098</v>
      </c>
      <c r="B99" s="0" t="n">
        <v>3007</v>
      </c>
      <c r="C99" s="0" t="n">
        <v>12900000</v>
      </c>
      <c r="D99" s="0" t="n">
        <v>0</v>
      </c>
      <c r="E99" s="0" t="n">
        <f aca="false">MATCH(D99,rules!$C$2:$C$6,1)</f>
        <v>1</v>
      </c>
      <c r="F99" s="0" t="n">
        <f aca="false">_xlfn.MAXIFS($E$2:$E$121,$B$2:$B$121,B99)</f>
        <v>5</v>
      </c>
    </row>
    <row r="100" customFormat="false" ht="15" hidden="false" customHeight="false" outlineLevel="0" collapsed="false">
      <c r="A100" s="0" t="n">
        <v>7099</v>
      </c>
      <c r="B100" s="0" t="n">
        <v>3008</v>
      </c>
      <c r="C100" s="0" t="n">
        <v>8900000</v>
      </c>
      <c r="D100" s="0" t="n">
        <v>0</v>
      </c>
      <c r="E100" s="0" t="n">
        <f aca="false">MATCH(D100,rules!$C$2:$C$6,1)</f>
        <v>1</v>
      </c>
      <c r="F100" s="0" t="n">
        <f aca="false">_xlfn.MAXIFS($E$2:$E$121,$B$2:$B$121,B100)</f>
        <v>1</v>
      </c>
    </row>
    <row r="101" customFormat="false" ht="15" hidden="false" customHeight="false" outlineLevel="0" collapsed="false">
      <c r="A101" s="0" t="n">
        <v>7100</v>
      </c>
      <c r="B101" s="0" t="n">
        <v>3012</v>
      </c>
      <c r="C101" s="0" t="n">
        <v>22400000</v>
      </c>
      <c r="D101" s="0" t="n">
        <v>0</v>
      </c>
      <c r="E101" s="0" t="n">
        <f aca="false">MATCH(D101,rules!$C$2:$C$6,1)</f>
        <v>1</v>
      </c>
      <c r="F101" s="0" t="n">
        <f aca="false">_xlfn.MAXIFS($E$2:$E$121,$B$2:$B$121,B101)</f>
        <v>1</v>
      </c>
    </row>
    <row r="102" customFormat="false" ht="15" hidden="false" customHeight="false" outlineLevel="0" collapsed="false">
      <c r="A102" s="0" t="n">
        <v>7101</v>
      </c>
      <c r="B102" s="0" t="n">
        <v>3053</v>
      </c>
      <c r="C102" s="0" t="n">
        <v>10000000</v>
      </c>
      <c r="D102" s="0" t="n">
        <v>157</v>
      </c>
      <c r="E102" s="0" t="n">
        <f aca="false">MATCH(D102,rules!$C$2:$C$6,1)</f>
        <v>3</v>
      </c>
      <c r="F102" s="0" t="n">
        <f aca="false">_xlfn.MAXIFS($E$2:$E$121,$B$2:$B$121,B102)</f>
        <v>3</v>
      </c>
    </row>
    <row r="103" customFormat="false" ht="15" hidden="false" customHeight="false" outlineLevel="0" collapsed="false">
      <c r="A103" s="0" t="n">
        <v>7102</v>
      </c>
      <c r="B103" s="0" t="n">
        <v>3006</v>
      </c>
      <c r="C103" s="0" t="n">
        <v>22200000</v>
      </c>
      <c r="D103" s="0" t="n">
        <v>137</v>
      </c>
      <c r="E103" s="0" t="n">
        <f aca="false">MATCH(D103,rules!$C$2:$C$6,1)</f>
        <v>3</v>
      </c>
      <c r="F103" s="0" t="n">
        <f aca="false">_xlfn.MAXIFS($E$2:$E$121,$B$2:$B$121,B103)</f>
        <v>3</v>
      </c>
    </row>
    <row r="104" customFormat="false" ht="15" hidden="false" customHeight="false" outlineLevel="0" collapsed="false">
      <c r="A104" s="0" t="n">
        <v>7103</v>
      </c>
      <c r="B104" s="0" t="n">
        <v>3011</v>
      </c>
      <c r="C104" s="0" t="n">
        <v>28200000</v>
      </c>
      <c r="D104" s="0" t="n">
        <v>0</v>
      </c>
      <c r="E104" s="0" t="n">
        <f aca="false">MATCH(D104,rules!$C$2:$C$6,1)</f>
        <v>1</v>
      </c>
      <c r="F104" s="0" t="n">
        <f aca="false">_xlfn.MAXIFS($E$2:$E$121,$B$2:$B$121,B104)</f>
        <v>1</v>
      </c>
    </row>
    <row r="105" customFormat="false" ht="15" hidden="false" customHeight="false" outlineLevel="0" collapsed="false">
      <c r="A105" s="0" t="n">
        <v>7104</v>
      </c>
      <c r="B105" s="0" t="n">
        <v>3042</v>
      </c>
      <c r="C105" s="0" t="n">
        <v>150300000</v>
      </c>
      <c r="D105" s="0" t="n">
        <v>390</v>
      </c>
      <c r="E105" s="0" t="n">
        <f aca="false">MATCH(D105,rules!$C$2:$C$6,1)</f>
        <v>5</v>
      </c>
      <c r="F105" s="0" t="n">
        <f aca="false">_xlfn.MAXIFS($E$2:$E$121,$B$2:$B$121,B105)</f>
        <v>5</v>
      </c>
    </row>
    <row r="106" customFormat="false" ht="15" hidden="false" customHeight="false" outlineLevel="0" collapsed="false">
      <c r="A106" s="0" t="n">
        <v>7105</v>
      </c>
      <c r="B106" s="0" t="n">
        <v>3047</v>
      </c>
      <c r="C106" s="0" t="n">
        <v>17600000</v>
      </c>
      <c r="D106" s="0" t="n">
        <v>0</v>
      </c>
      <c r="E106" s="0" t="n">
        <f aca="false">MATCH(D106,rules!$C$2:$C$6,1)</f>
        <v>1</v>
      </c>
      <c r="F106" s="0" t="n">
        <f aca="false">_xlfn.MAXIFS($E$2:$E$121,$B$2:$B$121,B106)</f>
        <v>1</v>
      </c>
    </row>
    <row r="107" customFormat="false" ht="15" hidden="false" customHeight="false" outlineLevel="0" collapsed="false">
      <c r="A107" s="0" t="n">
        <v>7106</v>
      </c>
      <c r="B107" s="0" t="n">
        <v>3003</v>
      </c>
      <c r="C107" s="0" t="n">
        <v>7700000</v>
      </c>
      <c r="D107" s="0" t="n">
        <v>0</v>
      </c>
      <c r="E107" s="0" t="n">
        <f aca="false">MATCH(D107,rules!$C$2:$C$6,1)</f>
        <v>1</v>
      </c>
      <c r="F107" s="0" t="n">
        <f aca="false">_xlfn.MAXIFS($E$2:$E$121,$B$2:$B$121,B107)</f>
        <v>1</v>
      </c>
    </row>
    <row r="108" customFormat="false" ht="15" hidden="false" customHeight="false" outlineLevel="0" collapsed="false">
      <c r="A108" s="0" t="n">
        <v>7107</v>
      </c>
      <c r="B108" s="0" t="n">
        <v>3014</v>
      </c>
      <c r="C108" s="0" t="n">
        <v>25300000</v>
      </c>
      <c r="D108" s="0" t="n">
        <v>0</v>
      </c>
      <c r="E108" s="0" t="n">
        <f aca="false">MATCH(D108,rules!$C$2:$C$6,1)</f>
        <v>1</v>
      </c>
      <c r="F108" s="0" t="n">
        <f aca="false">_xlfn.MAXIFS($E$2:$E$121,$B$2:$B$121,B108)</f>
        <v>1</v>
      </c>
    </row>
    <row r="109" customFormat="false" ht="15" hidden="false" customHeight="false" outlineLevel="0" collapsed="false">
      <c r="A109" s="0" t="n">
        <v>7108</v>
      </c>
      <c r="B109" s="0" t="n">
        <v>3010</v>
      </c>
      <c r="C109" s="0" t="n">
        <v>12400000</v>
      </c>
      <c r="D109" s="0" t="n">
        <v>28</v>
      </c>
      <c r="E109" s="0" t="n">
        <f aca="false">MATCH(D109,rules!$C$2:$C$6,1)</f>
        <v>2</v>
      </c>
      <c r="F109" s="0" t="n">
        <f aca="false">_xlfn.MAXIFS($E$2:$E$121,$B$2:$B$121,B109)</f>
        <v>2</v>
      </c>
    </row>
    <row r="110" customFormat="false" ht="15" hidden="false" customHeight="false" outlineLevel="0" collapsed="false">
      <c r="A110" s="0" t="n">
        <v>7109</v>
      </c>
      <c r="B110" s="0" t="n">
        <v>3033</v>
      </c>
      <c r="C110" s="0" t="n">
        <v>12700000</v>
      </c>
      <c r="D110" s="0" t="n">
        <v>9</v>
      </c>
      <c r="E110" s="0" t="n">
        <f aca="false">MATCH(D110,rules!$C$2:$C$6,1)</f>
        <v>1</v>
      </c>
      <c r="F110" s="0" t="n">
        <f aca="false">_xlfn.MAXIFS($E$2:$E$121,$B$2:$B$121,B110)</f>
        <v>5</v>
      </c>
    </row>
    <row r="111" customFormat="false" ht="15" hidden="false" customHeight="false" outlineLevel="0" collapsed="false">
      <c r="A111" s="0" t="n">
        <v>7110</v>
      </c>
      <c r="B111" s="0" t="n">
        <v>3018</v>
      </c>
      <c r="C111" s="0" t="n">
        <v>40800000</v>
      </c>
      <c r="D111" s="0" t="n">
        <v>0</v>
      </c>
      <c r="E111" s="0" t="n">
        <f aca="false">MATCH(D111,rules!$C$2:$C$6,1)</f>
        <v>1</v>
      </c>
      <c r="F111" s="0" t="n">
        <f aca="false">_xlfn.MAXIFS($E$2:$E$121,$B$2:$B$121,B111)</f>
        <v>1</v>
      </c>
    </row>
    <row r="112" customFormat="false" ht="15" hidden="false" customHeight="false" outlineLevel="0" collapsed="false">
      <c r="A112" s="0" t="n">
        <v>7111</v>
      </c>
      <c r="B112" s="0" t="n">
        <v>3026</v>
      </c>
      <c r="C112" s="0" t="n">
        <v>4500000</v>
      </c>
      <c r="D112" s="0" t="n">
        <v>8</v>
      </c>
      <c r="E112" s="0" t="n">
        <f aca="false">MATCH(D112,rules!$C$2:$C$6,1)</f>
        <v>1</v>
      </c>
      <c r="F112" s="0" t="n">
        <f aca="false">_xlfn.MAXIFS($E$2:$E$121,$B$2:$B$121,B112)</f>
        <v>1</v>
      </c>
    </row>
    <row r="113" customFormat="false" ht="15" hidden="false" customHeight="false" outlineLevel="0" collapsed="false">
      <c r="A113" s="0" t="n">
        <v>7112</v>
      </c>
      <c r="B113" s="0" t="n">
        <v>3045</v>
      </c>
      <c r="C113" s="0" t="n">
        <v>61000000</v>
      </c>
      <c r="D113" s="0" t="n">
        <v>0</v>
      </c>
      <c r="E113" s="0" t="n">
        <f aca="false">MATCH(D113,rules!$C$2:$C$6,1)</f>
        <v>1</v>
      </c>
      <c r="F113" s="0" t="n">
        <f aca="false">_xlfn.MAXIFS($E$2:$E$121,$B$2:$B$121,B113)</f>
        <v>1</v>
      </c>
    </row>
    <row r="114" customFormat="false" ht="15" hidden="false" customHeight="false" outlineLevel="0" collapsed="false">
      <c r="A114" s="0" t="n">
        <v>7113</v>
      </c>
      <c r="B114" s="0" t="n">
        <v>3017</v>
      </c>
      <c r="C114" s="0" t="n">
        <v>180300000</v>
      </c>
      <c r="D114" s="0" t="n">
        <v>0</v>
      </c>
      <c r="E114" s="0" t="n">
        <f aca="false">MATCH(D114,rules!$C$2:$C$6,1)</f>
        <v>1</v>
      </c>
      <c r="F114" s="0" t="n">
        <f aca="false">_xlfn.MAXIFS($E$2:$E$121,$B$2:$B$121,B114)</f>
        <v>3</v>
      </c>
    </row>
    <row r="115" customFormat="false" ht="15" hidden="false" customHeight="false" outlineLevel="0" collapsed="false">
      <c r="A115" s="0" t="n">
        <v>7114</v>
      </c>
      <c r="B115" s="0" t="n">
        <v>3021</v>
      </c>
      <c r="C115" s="0" t="n">
        <v>139900000</v>
      </c>
      <c r="D115" s="0" t="n">
        <v>0</v>
      </c>
      <c r="E115" s="0" t="n">
        <f aca="false">MATCH(D115,rules!$C$2:$C$6,1)</f>
        <v>1</v>
      </c>
      <c r="F115" s="0" t="n">
        <f aca="false">_xlfn.MAXIFS($E$2:$E$121,$B$2:$B$121,B115)</f>
        <v>2</v>
      </c>
    </row>
    <row r="116" customFormat="false" ht="15" hidden="false" customHeight="false" outlineLevel="0" collapsed="false">
      <c r="A116" s="0" t="n">
        <v>7115</v>
      </c>
      <c r="B116" s="0" t="n">
        <v>3040</v>
      </c>
      <c r="C116" s="0" t="n">
        <v>10300000</v>
      </c>
      <c r="D116" s="0" t="n">
        <v>340</v>
      </c>
      <c r="E116" s="0" t="n">
        <f aca="false">MATCH(D116,rules!$C$2:$C$6,1)</f>
        <v>4</v>
      </c>
      <c r="F116" s="0" t="n">
        <f aca="false">_xlfn.MAXIFS($E$2:$E$121,$B$2:$B$121,B116)</f>
        <v>4</v>
      </c>
    </row>
    <row r="117" customFormat="false" ht="15" hidden="false" customHeight="false" outlineLevel="0" collapsed="false">
      <c r="A117" s="0" t="n">
        <v>7116</v>
      </c>
      <c r="B117" s="0" t="n">
        <v>3006</v>
      </c>
      <c r="C117" s="0" t="n">
        <v>10700000</v>
      </c>
      <c r="D117" s="0" t="n">
        <v>0</v>
      </c>
      <c r="E117" s="0" t="n">
        <f aca="false">MATCH(D117,rules!$C$2:$C$6,1)</f>
        <v>1</v>
      </c>
      <c r="F117" s="0" t="n">
        <f aca="false">_xlfn.MAXIFS($E$2:$E$121,$B$2:$B$121,B117)</f>
        <v>3</v>
      </c>
    </row>
    <row r="118" customFormat="false" ht="15" hidden="false" customHeight="false" outlineLevel="0" collapsed="false">
      <c r="A118" s="0" t="n">
        <v>7117</v>
      </c>
      <c r="B118" s="0" t="n">
        <v>3034</v>
      </c>
      <c r="C118" s="0" t="n">
        <v>78100000</v>
      </c>
      <c r="D118" s="0" t="n">
        <v>11</v>
      </c>
      <c r="E118" s="0" t="n">
        <f aca="false">MATCH(D118,rules!$C$2:$C$6,1)</f>
        <v>2</v>
      </c>
      <c r="F118" s="0" t="n">
        <f aca="false">_xlfn.MAXIFS($E$2:$E$121,$B$2:$B$121,B118)</f>
        <v>2</v>
      </c>
    </row>
    <row r="119" customFormat="false" ht="15" hidden="false" customHeight="false" outlineLevel="0" collapsed="false">
      <c r="A119" s="0" t="n">
        <v>7118</v>
      </c>
      <c r="B119" s="0" t="n">
        <v>3057</v>
      </c>
      <c r="C119" s="0" t="n">
        <v>24900000</v>
      </c>
      <c r="D119" s="0" t="n">
        <v>0</v>
      </c>
      <c r="E119" s="0" t="n">
        <f aca="false">MATCH(D119,rules!$C$2:$C$6,1)</f>
        <v>1</v>
      </c>
      <c r="F119" s="0" t="n">
        <f aca="false">_xlfn.MAXIFS($E$2:$E$121,$B$2:$B$121,B119)</f>
        <v>1</v>
      </c>
    </row>
    <row r="120" customFormat="false" ht="15" hidden="false" customHeight="false" outlineLevel="0" collapsed="false">
      <c r="A120" s="0" t="n">
        <v>7119</v>
      </c>
      <c r="B120" s="0" t="n">
        <v>3067</v>
      </c>
      <c r="C120" s="0" t="n">
        <v>71900000</v>
      </c>
      <c r="D120" s="0" t="n">
        <v>0</v>
      </c>
      <c r="E120" s="0" t="n">
        <f aca="false">MATCH(D120,rules!$C$2:$C$6,1)</f>
        <v>1</v>
      </c>
      <c r="F120" s="0" t="n">
        <f aca="false">_xlfn.MAXIFS($E$2:$E$121,$B$2:$B$121,B120)</f>
        <v>1</v>
      </c>
    </row>
    <row r="121" customFormat="false" ht="15" hidden="false" customHeight="false" outlineLevel="0" collapsed="false">
      <c r="A121" s="0" t="n">
        <v>7120</v>
      </c>
      <c r="B121" s="0" t="n">
        <v>3015</v>
      </c>
      <c r="C121" s="0" t="n">
        <v>41300000</v>
      </c>
      <c r="D121" s="0" t="n">
        <v>0</v>
      </c>
      <c r="E121" s="0" t="n">
        <f aca="false">MATCH(D121,rules!$C$2:$C$6,1)</f>
        <v>1</v>
      </c>
      <c r="F121" s="0" t="n">
        <f aca="false">_xlfn.MAXIFS($E$2:$E$121,$B$2:$B$121,B121)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2" t="s">
        <v>36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</row>
    <row r="2" customFormat="false" ht="15" hidden="false" customHeight="false" outlineLevel="0" collapsed="false">
      <c r="A2" s="0" t="n">
        <v>1</v>
      </c>
      <c r="B2" s="0" t="n">
        <f aca="false">COUNTIFS(loans!$H$2:$H$121,"&gt;="&amp;INDEX(rules!$C$2:$C$6,$A2),loans!$H$2:$H$121,"&lt;="&amp;INDEX(rules!$D$2:$D$6,$A2),loans!$G$2:$G$121,"&gt;="&amp;INDEX(rules!$C$2:$C$6,B$1),loans!$G$2:$G$121,"&lt;="&amp;INDEX(rules!$D$2:$D$6,B$1))</f>
        <v>66</v>
      </c>
      <c r="C2" s="0" t="n">
        <f aca="false">COUNTIFS(loans!$H$2:$H$121,"&gt;="&amp;INDEX(rules!$C$2:$C$6,$A2),loans!$H$2:$H$121,"&lt;="&amp;INDEX(rules!$D$2:$D$6,$A2),loans!$G$2:$G$121,"&gt;="&amp;INDEX(rules!$C$2:$C$6,C$1),loans!$G$2:$G$121,"&lt;="&amp;INDEX(rules!$D$2:$D$6,C$1))</f>
        <v>12</v>
      </c>
      <c r="D2" s="0" t="n">
        <f aca="false">COUNTIFS(loans!$H$2:$H$121,"&gt;="&amp;INDEX(rules!$C$2:$C$6,$A2),loans!$H$2:$H$121,"&lt;="&amp;INDEX(rules!$D$2:$D$6,$A2),loans!$G$2:$G$121,"&gt;="&amp;INDEX(rules!$C$2:$C$6,D$1),loans!$G$2:$G$121,"&lt;="&amp;INDEX(rules!$D$2:$D$6,D$1))</f>
        <v>0</v>
      </c>
      <c r="E2" s="0" t="n">
        <f aca="false">COUNTIFS(loans!$H$2:$H$121,"&gt;="&amp;INDEX(rules!$C$2:$C$6,$A2),loans!$H$2:$H$121,"&lt;="&amp;INDEX(rules!$D$2:$D$6,$A2),loans!$G$2:$G$121,"&gt;="&amp;INDEX(rules!$C$2:$C$6,E$1),loans!$G$2:$G$121,"&lt;="&amp;INDEX(rules!$D$2:$D$6,E$1))</f>
        <v>0</v>
      </c>
      <c r="F2" s="0" t="n">
        <f aca="false">COUNTIFS(loans!$H$2:$H$121,"&gt;="&amp;INDEX(rules!$C$2:$C$6,$A2),loans!$H$2:$H$121,"&lt;="&amp;INDEX(rules!$D$2:$D$6,$A2),loans!$G$2:$G$121,"&gt;="&amp;INDEX(rules!$C$2:$C$6,F$1),loans!$G$2:$G$121,"&lt;="&amp;INDEX(rules!$D$2:$D$6,F$1))</f>
        <v>0</v>
      </c>
    </row>
    <row r="3" customFormat="false" ht="15" hidden="false" customHeight="false" outlineLevel="0" collapsed="false">
      <c r="A3" s="0" t="n">
        <v>2</v>
      </c>
      <c r="B3" s="0" t="n">
        <f aca="false">COUNTIFS(loans!$H$2:$H$121,"&gt;="&amp;INDEX(rules!$C$2:$C$6,$A3),loans!$H$2:$H$121,"&lt;="&amp;INDEX(rules!$D$2:$D$6,$A3),loans!$G$2:$G$121,"&gt;="&amp;INDEX(rules!$C$2:$C$6,B$1),loans!$G$2:$G$121,"&lt;="&amp;INDEX(rules!$D$2:$D$6,B$1))</f>
        <v>14</v>
      </c>
      <c r="C3" s="0" t="n">
        <f aca="false">COUNTIFS(loans!$H$2:$H$121,"&gt;="&amp;INDEX(rules!$C$2:$C$6,$A3),loans!$H$2:$H$121,"&lt;="&amp;INDEX(rules!$D$2:$D$6,$A3),loans!$G$2:$G$121,"&gt;="&amp;INDEX(rules!$C$2:$C$6,C$1),loans!$G$2:$G$121,"&lt;="&amp;INDEX(rules!$D$2:$D$6,C$1))</f>
        <v>10</v>
      </c>
      <c r="D3" s="0" t="n">
        <f aca="false">COUNTIFS(loans!$H$2:$H$121,"&gt;="&amp;INDEX(rules!$C$2:$C$6,$A3),loans!$H$2:$H$121,"&lt;="&amp;INDEX(rules!$D$2:$D$6,$A3),loans!$G$2:$G$121,"&gt;="&amp;INDEX(rules!$C$2:$C$6,D$1),loans!$G$2:$G$121,"&lt;="&amp;INDEX(rules!$D$2:$D$6,D$1))</f>
        <v>3</v>
      </c>
      <c r="E3" s="0" t="n">
        <f aca="false">COUNTIFS(loans!$H$2:$H$121,"&gt;="&amp;INDEX(rules!$C$2:$C$6,$A3),loans!$H$2:$H$121,"&lt;="&amp;INDEX(rules!$D$2:$D$6,$A3),loans!$G$2:$G$121,"&gt;="&amp;INDEX(rules!$C$2:$C$6,E$1),loans!$G$2:$G$121,"&lt;="&amp;INDEX(rules!$D$2:$D$6,E$1))</f>
        <v>0</v>
      </c>
      <c r="F3" s="0" t="n">
        <f aca="false">COUNTIFS(loans!$H$2:$H$121,"&gt;="&amp;INDEX(rules!$C$2:$C$6,$A3),loans!$H$2:$H$121,"&lt;="&amp;INDEX(rules!$D$2:$D$6,$A3),loans!$G$2:$G$121,"&gt;="&amp;INDEX(rules!$C$2:$C$6,F$1),loans!$G$2:$G$121,"&lt;="&amp;INDEX(rules!$D$2:$D$6,F$1))</f>
        <v>0</v>
      </c>
    </row>
    <row r="4" customFormat="false" ht="15" hidden="false" customHeight="false" outlineLevel="0" collapsed="false">
      <c r="A4" s="0" t="n">
        <v>3</v>
      </c>
      <c r="B4" s="0" t="n">
        <f aca="false">COUNTIFS(loans!$H$2:$H$121,"&gt;="&amp;INDEX(rules!$C$2:$C$6,$A4),loans!$H$2:$H$121,"&lt;="&amp;INDEX(rules!$D$2:$D$6,$A4),loans!$G$2:$G$121,"&gt;="&amp;INDEX(rules!$C$2:$C$6,B$1),loans!$G$2:$G$121,"&lt;="&amp;INDEX(rules!$D$2:$D$6,B$1))</f>
        <v>1</v>
      </c>
      <c r="C4" s="0" t="n">
        <f aca="false">COUNTIFS(loans!$H$2:$H$121,"&gt;="&amp;INDEX(rules!$C$2:$C$6,$A4),loans!$H$2:$H$121,"&lt;="&amp;INDEX(rules!$D$2:$D$6,$A4),loans!$G$2:$G$121,"&gt;="&amp;INDEX(rules!$C$2:$C$6,C$1),loans!$G$2:$G$121,"&lt;="&amp;INDEX(rules!$D$2:$D$6,C$1))</f>
        <v>0</v>
      </c>
      <c r="D4" s="0" t="n">
        <f aca="false">COUNTIFS(loans!$H$2:$H$121,"&gt;="&amp;INDEX(rules!$C$2:$C$6,$A4),loans!$H$2:$H$121,"&lt;="&amp;INDEX(rules!$D$2:$D$6,$A4),loans!$G$2:$G$121,"&gt;="&amp;INDEX(rules!$C$2:$C$6,D$1),loans!$G$2:$G$121,"&lt;="&amp;INDEX(rules!$D$2:$D$6,D$1))</f>
        <v>4</v>
      </c>
      <c r="E4" s="0" t="n">
        <f aca="false">COUNTIFS(loans!$H$2:$H$121,"&gt;="&amp;INDEX(rules!$C$2:$C$6,$A4),loans!$H$2:$H$121,"&lt;="&amp;INDEX(rules!$D$2:$D$6,$A4),loans!$G$2:$G$121,"&gt;="&amp;INDEX(rules!$C$2:$C$6,E$1),loans!$G$2:$G$121,"&lt;="&amp;INDEX(rules!$D$2:$D$6,E$1))</f>
        <v>3</v>
      </c>
      <c r="F4" s="0" t="n">
        <f aca="false">COUNTIFS(loans!$H$2:$H$121,"&gt;="&amp;INDEX(rules!$C$2:$C$6,$A4),loans!$H$2:$H$121,"&lt;="&amp;INDEX(rules!$D$2:$D$6,$A4),loans!$G$2:$G$121,"&gt;="&amp;INDEX(rules!$C$2:$C$6,F$1),loans!$G$2:$G$121,"&lt;="&amp;INDEX(rules!$D$2:$D$6,F$1))</f>
        <v>0</v>
      </c>
    </row>
    <row r="5" customFormat="false" ht="15" hidden="false" customHeight="false" outlineLevel="0" collapsed="false">
      <c r="A5" s="0" t="n">
        <v>4</v>
      </c>
      <c r="B5" s="0" t="n">
        <f aca="false">COUNTIFS(loans!$H$2:$H$121,"&gt;="&amp;INDEX(rules!$C$2:$C$6,$A5),loans!$H$2:$H$121,"&lt;="&amp;INDEX(rules!$D$2:$D$6,$A5),loans!$G$2:$G$121,"&gt;="&amp;INDEX(rules!$C$2:$C$6,B$1),loans!$G$2:$G$121,"&lt;="&amp;INDEX(rules!$D$2:$D$6,B$1))</f>
        <v>0</v>
      </c>
      <c r="C5" s="0" t="n">
        <f aca="false">COUNTIFS(loans!$H$2:$H$121,"&gt;="&amp;INDEX(rules!$C$2:$C$6,$A5),loans!$H$2:$H$121,"&lt;="&amp;INDEX(rules!$D$2:$D$6,$A5),loans!$G$2:$G$121,"&gt;="&amp;INDEX(rules!$C$2:$C$6,C$1),loans!$G$2:$G$121,"&lt;="&amp;INDEX(rules!$D$2:$D$6,C$1))</f>
        <v>0</v>
      </c>
      <c r="D5" s="0" t="n">
        <f aca="false">COUNTIFS(loans!$H$2:$H$121,"&gt;="&amp;INDEX(rules!$C$2:$C$6,$A5),loans!$H$2:$H$121,"&lt;="&amp;INDEX(rules!$D$2:$D$6,$A5),loans!$G$2:$G$121,"&gt;="&amp;INDEX(rules!$C$2:$C$6,D$1),loans!$G$2:$G$121,"&lt;="&amp;INDEX(rules!$D$2:$D$6,D$1))</f>
        <v>0</v>
      </c>
      <c r="E5" s="0" t="n">
        <f aca="false">COUNTIFS(loans!$H$2:$H$121,"&gt;="&amp;INDEX(rules!$C$2:$C$6,$A5),loans!$H$2:$H$121,"&lt;="&amp;INDEX(rules!$D$2:$D$6,$A5),loans!$G$2:$G$121,"&gt;="&amp;INDEX(rules!$C$2:$C$6,E$1),loans!$G$2:$G$121,"&lt;="&amp;INDEX(rules!$D$2:$D$6,E$1))</f>
        <v>3</v>
      </c>
      <c r="F5" s="0" t="n">
        <f aca="false">COUNTIFS(loans!$H$2:$H$121,"&gt;="&amp;INDEX(rules!$C$2:$C$6,$A5),loans!$H$2:$H$121,"&lt;="&amp;INDEX(rules!$D$2:$D$6,$A5),loans!$G$2:$G$121,"&gt;="&amp;INDEX(rules!$C$2:$C$6,F$1),loans!$G$2:$G$121,"&lt;="&amp;INDEX(rules!$D$2:$D$6,F$1))</f>
        <v>2</v>
      </c>
    </row>
    <row r="6" customFormat="false" ht="15" hidden="false" customHeight="false" outlineLevel="0" collapsed="false">
      <c r="A6" s="0" t="n">
        <v>5</v>
      </c>
      <c r="B6" s="0" t="n">
        <f aca="false">COUNTIFS(loans!$H$2:$H$121,"&gt;="&amp;INDEX(rules!$C$2:$C$6,$A6),loans!$H$2:$H$121,"&lt;="&amp;INDEX(rules!$D$2:$D$6,$A6),loans!$G$2:$G$121,"&gt;="&amp;INDEX(rules!$C$2:$C$6,B$1),loans!$G$2:$G$121,"&lt;="&amp;INDEX(rules!$D$2:$D$6,B$1))</f>
        <v>0</v>
      </c>
      <c r="C6" s="0" t="n">
        <f aca="false">COUNTIFS(loans!$H$2:$H$121,"&gt;="&amp;INDEX(rules!$C$2:$C$6,$A6),loans!$H$2:$H$121,"&lt;="&amp;INDEX(rules!$D$2:$D$6,$A6),loans!$G$2:$G$121,"&gt;="&amp;INDEX(rules!$C$2:$C$6,C$1),loans!$G$2:$G$121,"&lt;="&amp;INDEX(rules!$D$2:$D$6,C$1))</f>
        <v>0</v>
      </c>
      <c r="D6" s="0" t="n">
        <f aca="false">COUNTIFS(loans!$H$2:$H$121,"&gt;="&amp;INDEX(rules!$C$2:$C$6,$A6),loans!$H$2:$H$121,"&lt;="&amp;INDEX(rules!$D$2:$D$6,$A6),loans!$G$2:$G$121,"&gt;="&amp;INDEX(rules!$C$2:$C$6,D$1),loans!$G$2:$G$121,"&lt;="&amp;INDEX(rules!$D$2:$D$6,D$1))</f>
        <v>0</v>
      </c>
      <c r="E6" s="0" t="n">
        <f aca="false">COUNTIFS(loans!$H$2:$H$121,"&gt;="&amp;INDEX(rules!$C$2:$C$6,$A6),loans!$H$2:$H$121,"&lt;="&amp;INDEX(rules!$D$2:$D$6,$A6),loans!$G$2:$G$121,"&gt;="&amp;INDEX(rules!$C$2:$C$6,E$1),loans!$G$2:$G$121,"&lt;="&amp;INDEX(rules!$D$2:$D$6,E$1))</f>
        <v>0</v>
      </c>
      <c r="F6" s="0" t="n">
        <f aca="false">COUNTIFS(loans!$H$2:$H$121,"&gt;="&amp;INDEX(rules!$C$2:$C$6,$A6),loans!$H$2:$H$121,"&lt;="&amp;INDEX(rules!$D$2:$D$6,$A6),loans!$G$2:$G$121,"&gt;="&amp;INDEX(rules!$C$2:$C$6,F$1),loans!$G$2:$G$121,"&lt;="&amp;INDEX(rules!$D$2:$D$6,F$1))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2026-10-29T07:21:16Z</dcterms:created>
  <dc:creator>openpyxl</dc:creator>
  <dc:description/>
  <dc:language>en-US</dc:language>
  <cp:lastModifiedBy/>
  <dcterms:modified xsi:type="dcterms:W3CDTF">2026-10-29T07:21:18Z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