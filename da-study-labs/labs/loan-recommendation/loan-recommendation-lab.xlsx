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pplicants" sheetId="2" state="visible" r:id="rId4"/>
    <sheet name="history" sheetId="3" state="visible" r:id="rId5"/>
    <sheet name="products" sheetId="4" state="visible" r:id="rId6"/>
    <sheet name="task1" sheetId="5" state="visible" r:id="rId7"/>
    <sheet name="task2" sheetId="6" state="visible" r:id="rId8"/>
    <sheet name="task3" sheetId="7" state="visible" r:id="rId9"/>
    <sheet name="task4" sheetId="8" state="visible" r:id="rId10"/>
    <sheet name="task5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<sst xmlns="http://schemas.openxmlformats.org/spreadsheetml/2006/main" count="391" uniqueCount="63">
  <si>
    <t xml:space="preserve">Loan Recommendation Lab (educational)</t>
  </si>
  <si>
    <t xml:space="preserve">80 loan applicants, their credit history, and 4 fictional loan products. Amounts in VND.</t>
  </si>
  <si>
    <t xml:space="preserve">Sheets applicants, history and products are the data. Sheets task1 to task5 hold one reference solution each, as Excel formulas.</t>
  </si>
  <si>
    <t xml:space="preserve">Score bands follow the 300-850 CIC scale. Product rules, rates and limits are invented for teaching and are not any lender's policy.</t>
  </si>
  <si>
    <t xml:space="preserve">applicant_id</t>
  </si>
  <si>
    <t xml:space="preserve">monthly_income</t>
  </si>
  <si>
    <t xml:space="preserve">existing_installments</t>
  </si>
  <si>
    <t xml:space="preserve">credit_score</t>
  </si>
  <si>
    <t xml:space="preserve">requested_amount</t>
  </si>
  <si>
    <t xml:space="preserve">requested_term</t>
  </si>
  <si>
    <t xml:space="preserve">history_id</t>
  </si>
  <si>
    <t xml:space="preserve">product_type</t>
  </si>
  <si>
    <t xml:space="preserve">opened</t>
  </si>
  <si>
    <t xml:space="preserve">amount</t>
  </si>
  <si>
    <t xml:space="preserve">max_dpd</t>
  </si>
  <si>
    <t xml:space="preserve">status</t>
  </si>
  <si>
    <t xml:space="preserve">Motorbike loan</t>
  </si>
  <si>
    <t xml:space="preserve">closed</t>
  </si>
  <si>
    <t xml:space="preserve">Personal loan</t>
  </si>
  <si>
    <t xml:space="preserve">active</t>
  </si>
  <si>
    <t xml:space="preserve">Appliance installment</t>
  </si>
  <si>
    <t xml:space="preserve">Credit card</t>
  </si>
  <si>
    <t xml:space="preserve">product_id</t>
  </si>
  <si>
    <t xml:space="preserve">name</t>
  </si>
  <si>
    <t xml:space="preserve">min_score</t>
  </si>
  <si>
    <t xml:space="preserve">min_income</t>
  </si>
  <si>
    <t xml:space="preserve">max_amount</t>
  </si>
  <si>
    <t xml:space="preserve">max_term</t>
  </si>
  <si>
    <t xml:space="preserve">flat_rate</t>
  </si>
  <si>
    <t xml:space="preserve">max_dti</t>
  </si>
  <si>
    <t xml:space="preserve">thin_file_ok</t>
  </si>
  <si>
    <t xml:space="preserve">Prime</t>
  </si>
  <si>
    <t xml:space="preserve">Standard</t>
  </si>
  <si>
    <t xml:space="preserve">Starter</t>
  </si>
  <si>
    <t xml:space="preserve">Micro</t>
  </si>
  <si>
    <t xml:space="preserve">band</t>
  </si>
  <si>
    <t xml:space="preserve">max_score</t>
  </si>
  <si>
    <t xml:space="preserve">applicants</t>
  </si>
  <si>
    <t xml:space="preserve">avg_income</t>
  </si>
  <si>
    <t xml:space="preserve">High</t>
  </si>
  <si>
    <t xml:space="preserve">Medium</t>
  </si>
  <si>
    <t xml:space="preserve">Low</t>
  </si>
  <si>
    <t xml:space="preserve">No score</t>
  </si>
  <si>
    <t xml:space="preserve">worst_dpd</t>
  </si>
  <si>
    <t xml:space="preserve">history_class</t>
  </si>
  <si>
    <t xml:space="preserve">avg_score</t>
  </si>
  <si>
    <t xml:space="preserve">No history</t>
  </si>
  <si>
    <t xml:space="preserve">Clean</t>
  </si>
  <si>
    <t xml:space="preserve">Watch</t>
  </si>
  <si>
    <t xml:space="preserve">Severe</t>
  </si>
  <si>
    <t xml:space="preserve">product</t>
  </si>
  <si>
    <t xml:space="preserve">eligible_applicants</t>
  </si>
  <si>
    <t xml:space="preserve">recommended</t>
  </si>
  <si>
    <t xml:space="preserve">recommended_product</t>
  </si>
  <si>
    <t xml:space="preserve">No offer</t>
  </si>
  <si>
    <t xml:space="preserve">term</t>
  </si>
  <si>
    <t xml:space="preserve">afford_amount</t>
  </si>
  <si>
    <t xml:space="preserve">capped_amount</t>
  </si>
  <si>
    <t xml:space="preserve">offer</t>
  </si>
  <si>
    <t xml:space="preserve">interest</t>
  </si>
  <si>
    <t xml:space="preserve">offers</t>
  </si>
  <si>
    <t xml:space="preserve">total_offer</t>
  </si>
  <si>
    <t xml:space="preserve">total_interest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</si>
</sst>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7"/>
  </cols>
  <sheetData>
    <row r="1" customFormat="false" ht="15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customFormat="false" ht="15" hidden="false" customHeight="false" outlineLevel="0" collapsed="false">
      <c r="A2" s="0" t="n">
        <v>5001</v>
      </c>
      <c r="B2" s="0" t="n">
        <v>17500000</v>
      </c>
      <c r="C2" s="0" t="n">
        <v>0</v>
      </c>
      <c r="D2" s="0" t="n">
        <v>426</v>
      </c>
      <c r="E2" s="0" t="n">
        <v>131000000</v>
      </c>
      <c r="F2" s="0" t="n">
        <v>12</v>
      </c>
    </row>
    <row r="3" customFormat="false" ht="15" hidden="false" customHeight="false" outlineLevel="0" collapsed="false">
      <c r="A3" s="0" t="n">
        <v>5002</v>
      </c>
      <c r="B3" s="0" t="n">
        <v>11000000</v>
      </c>
      <c r="C3" s="0" t="n">
        <v>4200000</v>
      </c>
      <c r="D3" s="0" t="n">
        <v>799</v>
      </c>
      <c r="E3" s="0" t="n">
        <v>29000000</v>
      </c>
      <c r="F3" s="0" t="n">
        <v>24</v>
      </c>
    </row>
    <row r="4" customFormat="false" ht="15" hidden="false" customHeight="false" outlineLevel="0" collapsed="false">
      <c r="A4" s="0" t="n">
        <v>5003</v>
      </c>
      <c r="B4" s="0" t="n">
        <v>7000000</v>
      </c>
      <c r="C4" s="0" t="n">
        <v>0</v>
      </c>
      <c r="E4" s="0" t="n">
        <v>51000000</v>
      </c>
      <c r="F4" s="0" t="n">
        <v>12</v>
      </c>
    </row>
    <row r="5" customFormat="false" ht="15" hidden="false" customHeight="false" outlineLevel="0" collapsed="false">
      <c r="A5" s="0" t="n">
        <v>5004</v>
      </c>
      <c r="B5" s="0" t="n">
        <v>20000000</v>
      </c>
      <c r="C5" s="0" t="n">
        <v>0</v>
      </c>
      <c r="D5" s="0" t="n">
        <v>710</v>
      </c>
      <c r="E5" s="0" t="n">
        <v>88000000</v>
      </c>
      <c r="F5" s="0" t="n">
        <v>24</v>
      </c>
    </row>
    <row r="6" customFormat="false" ht="15" hidden="false" customHeight="false" outlineLevel="0" collapsed="false">
      <c r="A6" s="0" t="n">
        <v>5005</v>
      </c>
      <c r="B6" s="0" t="n">
        <v>20500000</v>
      </c>
      <c r="C6" s="0" t="n">
        <v>2200000</v>
      </c>
      <c r="E6" s="0" t="n">
        <v>110000000</v>
      </c>
      <c r="F6" s="0" t="n">
        <v>18</v>
      </c>
    </row>
    <row r="7" customFormat="false" ht="15" hidden="false" customHeight="false" outlineLevel="0" collapsed="false">
      <c r="A7" s="0" t="n">
        <v>5006</v>
      </c>
      <c r="B7" s="0" t="n">
        <v>17500000</v>
      </c>
      <c r="C7" s="0" t="n">
        <v>0</v>
      </c>
      <c r="E7" s="0" t="n">
        <v>62000000</v>
      </c>
      <c r="F7" s="0" t="n">
        <v>48</v>
      </c>
    </row>
    <row r="8" customFormat="false" ht="15" hidden="false" customHeight="false" outlineLevel="0" collapsed="false">
      <c r="A8" s="0" t="n">
        <v>5007</v>
      </c>
      <c r="B8" s="0" t="n">
        <v>8500000</v>
      </c>
      <c r="C8" s="0" t="n">
        <v>2100000</v>
      </c>
      <c r="D8" s="0" t="n">
        <v>779</v>
      </c>
      <c r="E8" s="0" t="n">
        <v>84000000</v>
      </c>
      <c r="F8" s="0" t="n">
        <v>24</v>
      </c>
    </row>
    <row r="9" customFormat="false" ht="15" hidden="false" customHeight="false" outlineLevel="0" collapsed="false">
      <c r="A9" s="0" t="n">
        <v>5008</v>
      </c>
      <c r="B9" s="0" t="n">
        <v>11000000</v>
      </c>
      <c r="C9" s="0" t="n">
        <v>3000000</v>
      </c>
      <c r="D9" s="0" t="n">
        <v>599</v>
      </c>
      <c r="E9" s="0" t="n">
        <v>55000000</v>
      </c>
      <c r="F9" s="0" t="n">
        <v>36</v>
      </c>
    </row>
    <row r="10" customFormat="false" ht="15" hidden="false" customHeight="false" outlineLevel="0" collapsed="false">
      <c r="A10" s="0" t="n">
        <v>5009</v>
      </c>
      <c r="B10" s="0" t="n">
        <v>11000000</v>
      </c>
      <c r="C10" s="0" t="n">
        <v>2700000</v>
      </c>
      <c r="D10" s="0" t="n">
        <v>468</v>
      </c>
      <c r="E10" s="0" t="n">
        <v>120000000</v>
      </c>
      <c r="F10" s="0" t="n">
        <v>18</v>
      </c>
    </row>
    <row r="11" customFormat="false" ht="15" hidden="false" customHeight="false" outlineLevel="0" collapsed="false">
      <c r="A11" s="0" t="n">
        <v>5010</v>
      </c>
      <c r="B11" s="0" t="n">
        <v>7000000</v>
      </c>
      <c r="C11" s="0" t="n">
        <v>600000</v>
      </c>
      <c r="D11" s="0" t="n">
        <v>660</v>
      </c>
      <c r="E11" s="0" t="n">
        <v>32000000</v>
      </c>
      <c r="F11" s="0" t="n">
        <v>6</v>
      </c>
    </row>
    <row r="12" customFormat="false" ht="15" hidden="false" customHeight="false" outlineLevel="0" collapsed="false">
      <c r="A12" s="0" t="n">
        <v>5011</v>
      </c>
      <c r="B12" s="0" t="n">
        <v>6000000</v>
      </c>
      <c r="C12" s="0" t="n">
        <v>0</v>
      </c>
      <c r="E12" s="0" t="n">
        <v>60000000</v>
      </c>
      <c r="F12" s="0" t="n">
        <v>12</v>
      </c>
    </row>
    <row r="13" customFormat="false" ht="15" hidden="false" customHeight="false" outlineLevel="0" collapsed="false">
      <c r="A13" s="0" t="n">
        <v>5012</v>
      </c>
      <c r="B13" s="0" t="n">
        <v>17500000</v>
      </c>
      <c r="C13" s="0" t="n">
        <v>5800000</v>
      </c>
      <c r="E13" s="0" t="n">
        <v>166000000</v>
      </c>
      <c r="F13" s="0" t="n">
        <v>6</v>
      </c>
    </row>
    <row r="14" customFormat="false" ht="15" hidden="false" customHeight="false" outlineLevel="0" collapsed="false">
      <c r="A14" s="0" t="n">
        <v>5013</v>
      </c>
      <c r="B14" s="0" t="n">
        <v>24000000</v>
      </c>
      <c r="C14" s="0" t="n">
        <v>7600000</v>
      </c>
      <c r="D14" s="0" t="n">
        <v>518</v>
      </c>
      <c r="E14" s="0" t="n">
        <v>111000000</v>
      </c>
      <c r="F14" s="0" t="n">
        <v>48</v>
      </c>
    </row>
    <row r="15" customFormat="false" ht="15" hidden="false" customHeight="false" outlineLevel="0" collapsed="false">
      <c r="A15" s="0" t="n">
        <v>5014</v>
      </c>
      <c r="B15" s="0" t="n">
        <v>12500000</v>
      </c>
      <c r="C15" s="0" t="n">
        <v>0</v>
      </c>
      <c r="E15" s="0" t="n">
        <v>52000000</v>
      </c>
      <c r="F15" s="0" t="n">
        <v>24</v>
      </c>
    </row>
    <row r="16" customFormat="false" ht="15" hidden="false" customHeight="false" outlineLevel="0" collapsed="false">
      <c r="A16" s="0" t="n">
        <v>5015</v>
      </c>
      <c r="B16" s="0" t="n">
        <v>9500000</v>
      </c>
      <c r="C16" s="0" t="n">
        <v>0</v>
      </c>
      <c r="D16" s="0" t="n">
        <v>442</v>
      </c>
      <c r="E16" s="0" t="n">
        <v>82000000</v>
      </c>
      <c r="F16" s="0" t="n">
        <v>12</v>
      </c>
    </row>
    <row r="17" customFormat="false" ht="15" hidden="false" customHeight="false" outlineLevel="0" collapsed="false">
      <c r="A17" s="0" t="n">
        <v>5016</v>
      </c>
      <c r="B17" s="0" t="n">
        <v>26000000</v>
      </c>
      <c r="C17" s="0" t="n">
        <v>0</v>
      </c>
      <c r="E17" s="0" t="n">
        <v>200000000</v>
      </c>
      <c r="F17" s="0" t="n">
        <v>24</v>
      </c>
    </row>
    <row r="18" customFormat="false" ht="15" hidden="false" customHeight="false" outlineLevel="0" collapsed="false">
      <c r="A18" s="0" t="n">
        <v>5017</v>
      </c>
      <c r="B18" s="0" t="n">
        <v>6000000</v>
      </c>
      <c r="C18" s="0" t="n">
        <v>0</v>
      </c>
      <c r="E18" s="0" t="n">
        <v>50000000</v>
      </c>
      <c r="F18" s="0" t="n">
        <v>48</v>
      </c>
    </row>
    <row r="19" customFormat="false" ht="15" hidden="false" customHeight="false" outlineLevel="0" collapsed="false">
      <c r="A19" s="0" t="n">
        <v>5018</v>
      </c>
      <c r="B19" s="0" t="n">
        <v>14500000</v>
      </c>
      <c r="C19" s="0" t="n">
        <v>3600000</v>
      </c>
      <c r="D19" s="0" t="n">
        <v>631</v>
      </c>
      <c r="E19" s="0" t="n">
        <v>49000000</v>
      </c>
      <c r="F19" s="0" t="n">
        <v>6</v>
      </c>
    </row>
    <row r="20" customFormat="false" ht="15" hidden="false" customHeight="false" outlineLevel="0" collapsed="false">
      <c r="A20" s="0" t="n">
        <v>5019</v>
      </c>
      <c r="B20" s="0" t="n">
        <v>21000000</v>
      </c>
      <c r="C20" s="0" t="n">
        <v>1300000</v>
      </c>
      <c r="D20" s="0" t="n">
        <v>699</v>
      </c>
      <c r="E20" s="0" t="n">
        <v>189000000</v>
      </c>
      <c r="F20" s="0" t="n">
        <v>48</v>
      </c>
    </row>
    <row r="21" customFormat="false" ht="15" hidden="false" customHeight="false" outlineLevel="0" collapsed="false">
      <c r="A21" s="0" t="n">
        <v>5020</v>
      </c>
      <c r="B21" s="0" t="n">
        <v>26000000</v>
      </c>
      <c r="C21" s="0" t="n">
        <v>5100000</v>
      </c>
      <c r="E21" s="0" t="n">
        <v>191000000</v>
      </c>
      <c r="F21" s="0" t="n">
        <v>48</v>
      </c>
    </row>
    <row r="22" customFormat="false" ht="15" hidden="false" customHeight="false" outlineLevel="0" collapsed="false">
      <c r="A22" s="0" t="n">
        <v>5021</v>
      </c>
      <c r="B22" s="0" t="n">
        <v>8500000</v>
      </c>
      <c r="C22" s="0" t="n">
        <v>3100000</v>
      </c>
      <c r="D22" s="0" t="n">
        <v>577</v>
      </c>
      <c r="E22" s="0" t="n">
        <v>33000000</v>
      </c>
      <c r="F22" s="0" t="n">
        <v>36</v>
      </c>
    </row>
    <row r="23" customFormat="false" ht="15" hidden="false" customHeight="false" outlineLevel="0" collapsed="false">
      <c r="A23" s="0" t="n">
        <v>5022</v>
      </c>
      <c r="B23" s="0" t="n">
        <v>9500000</v>
      </c>
      <c r="C23" s="0" t="n">
        <v>1500000</v>
      </c>
      <c r="D23" s="0" t="n">
        <v>564</v>
      </c>
      <c r="E23" s="0" t="n">
        <v>45000000</v>
      </c>
      <c r="F23" s="0" t="n">
        <v>36</v>
      </c>
    </row>
    <row r="24" customFormat="false" ht="15" hidden="false" customHeight="false" outlineLevel="0" collapsed="false">
      <c r="A24" s="0" t="n">
        <v>5023</v>
      </c>
      <c r="B24" s="0" t="n">
        <v>6000000</v>
      </c>
      <c r="C24" s="0" t="n">
        <v>0</v>
      </c>
      <c r="E24" s="0" t="n">
        <v>45000000</v>
      </c>
      <c r="F24" s="0" t="n">
        <v>48</v>
      </c>
    </row>
    <row r="25" customFormat="false" ht="15" hidden="false" customHeight="false" outlineLevel="0" collapsed="false">
      <c r="A25" s="0" t="n">
        <v>5024</v>
      </c>
      <c r="B25" s="0" t="n">
        <v>45000000</v>
      </c>
      <c r="C25" s="0" t="n">
        <v>0</v>
      </c>
      <c r="D25" s="0" t="n">
        <v>760</v>
      </c>
      <c r="E25" s="0" t="n">
        <v>200000000</v>
      </c>
      <c r="F25" s="0" t="n">
        <v>6</v>
      </c>
    </row>
    <row r="26" customFormat="false" ht="15" hidden="false" customHeight="false" outlineLevel="0" collapsed="false">
      <c r="A26" s="0" t="n">
        <v>5025</v>
      </c>
      <c r="B26" s="0" t="n">
        <v>13000000</v>
      </c>
      <c r="C26" s="0" t="n">
        <v>0</v>
      </c>
      <c r="D26" s="0" t="n">
        <v>563</v>
      </c>
      <c r="E26" s="0" t="n">
        <v>133000000</v>
      </c>
      <c r="F26" s="0" t="n">
        <v>6</v>
      </c>
    </row>
    <row r="27" customFormat="false" ht="15" hidden="false" customHeight="false" outlineLevel="0" collapsed="false">
      <c r="A27" s="0" t="n">
        <v>5026</v>
      </c>
      <c r="B27" s="0" t="n">
        <v>4500000</v>
      </c>
      <c r="C27" s="0" t="n">
        <v>0</v>
      </c>
      <c r="D27" s="0" t="n">
        <v>642</v>
      </c>
      <c r="E27" s="0" t="n">
        <v>32000000</v>
      </c>
      <c r="F27" s="0" t="n">
        <v>12</v>
      </c>
    </row>
    <row r="28" customFormat="false" ht="15" hidden="false" customHeight="false" outlineLevel="0" collapsed="false">
      <c r="A28" s="0" t="n">
        <v>5027</v>
      </c>
      <c r="B28" s="0" t="n">
        <v>10000000</v>
      </c>
      <c r="C28" s="0" t="n">
        <v>3300000</v>
      </c>
      <c r="E28" s="0" t="n">
        <v>48000000</v>
      </c>
      <c r="F28" s="0" t="n">
        <v>24</v>
      </c>
    </row>
    <row r="29" customFormat="false" ht="15" hidden="false" customHeight="false" outlineLevel="0" collapsed="false">
      <c r="A29" s="0" t="n">
        <v>5028</v>
      </c>
      <c r="B29" s="0" t="n">
        <v>23000000</v>
      </c>
      <c r="C29" s="0" t="n">
        <v>0</v>
      </c>
      <c r="D29" s="0" t="n">
        <v>687</v>
      </c>
      <c r="E29" s="0" t="n">
        <v>154000000</v>
      </c>
      <c r="F29" s="0" t="n">
        <v>24</v>
      </c>
    </row>
    <row r="30" customFormat="false" ht="15" hidden="false" customHeight="false" outlineLevel="0" collapsed="false">
      <c r="A30" s="0" t="n">
        <v>5029</v>
      </c>
      <c r="B30" s="0" t="n">
        <v>7500000</v>
      </c>
      <c r="C30" s="0" t="n">
        <v>2100000</v>
      </c>
      <c r="E30" s="0" t="n">
        <v>27000000</v>
      </c>
      <c r="F30" s="0" t="n">
        <v>48</v>
      </c>
    </row>
    <row r="31" customFormat="false" ht="15" hidden="false" customHeight="false" outlineLevel="0" collapsed="false">
      <c r="A31" s="0" t="n">
        <v>5030</v>
      </c>
      <c r="B31" s="0" t="n">
        <v>15500000</v>
      </c>
      <c r="C31" s="0" t="n">
        <v>4000000</v>
      </c>
      <c r="D31" s="0" t="n">
        <v>628</v>
      </c>
      <c r="E31" s="0" t="n">
        <v>112000000</v>
      </c>
      <c r="F31" s="0" t="n">
        <v>12</v>
      </c>
    </row>
    <row r="32" customFormat="false" ht="15" hidden="false" customHeight="false" outlineLevel="0" collapsed="false">
      <c r="A32" s="0" t="n">
        <v>5031</v>
      </c>
      <c r="B32" s="0" t="n">
        <v>8500000</v>
      </c>
      <c r="C32" s="0" t="n">
        <v>1500000</v>
      </c>
      <c r="D32" s="0" t="n">
        <v>723</v>
      </c>
      <c r="E32" s="0" t="n">
        <v>45000000</v>
      </c>
      <c r="F32" s="0" t="n">
        <v>36</v>
      </c>
    </row>
    <row r="33" customFormat="false" ht="15" hidden="false" customHeight="false" outlineLevel="0" collapsed="false">
      <c r="A33" s="0" t="n">
        <v>5032</v>
      </c>
      <c r="B33" s="0" t="n">
        <v>4500000</v>
      </c>
      <c r="C33" s="0" t="n">
        <v>0</v>
      </c>
      <c r="D33" s="0" t="n">
        <v>842</v>
      </c>
      <c r="E33" s="0" t="n">
        <v>35000000</v>
      </c>
      <c r="F33" s="0" t="n">
        <v>36</v>
      </c>
    </row>
    <row r="34" customFormat="false" ht="15" hidden="false" customHeight="false" outlineLevel="0" collapsed="false">
      <c r="A34" s="0" t="n">
        <v>5033</v>
      </c>
      <c r="B34" s="0" t="n">
        <v>18500000</v>
      </c>
      <c r="C34" s="0" t="n">
        <v>4700000</v>
      </c>
      <c r="D34" s="0" t="n">
        <v>413</v>
      </c>
      <c r="E34" s="0" t="n">
        <v>146000000</v>
      </c>
      <c r="F34" s="0" t="n">
        <v>48</v>
      </c>
    </row>
    <row r="35" customFormat="false" ht="15" hidden="false" customHeight="false" outlineLevel="0" collapsed="false">
      <c r="A35" s="0" t="n">
        <v>5034</v>
      </c>
      <c r="B35" s="0" t="n">
        <v>14500000</v>
      </c>
      <c r="C35" s="0" t="n">
        <v>5500000</v>
      </c>
      <c r="D35" s="0" t="n">
        <v>840</v>
      </c>
      <c r="E35" s="0" t="n">
        <v>50000000</v>
      </c>
      <c r="F35" s="0" t="n">
        <v>24</v>
      </c>
    </row>
    <row r="36" customFormat="false" ht="15" hidden="false" customHeight="false" outlineLevel="0" collapsed="false">
      <c r="A36" s="0" t="n">
        <v>5035</v>
      </c>
      <c r="B36" s="0" t="n">
        <v>9000000</v>
      </c>
      <c r="C36" s="0" t="n">
        <v>0</v>
      </c>
      <c r="E36" s="0" t="n">
        <v>48000000</v>
      </c>
      <c r="F36" s="0" t="n">
        <v>24</v>
      </c>
    </row>
    <row r="37" customFormat="false" ht="15" hidden="false" customHeight="false" outlineLevel="0" collapsed="false">
      <c r="A37" s="0" t="n">
        <v>5036</v>
      </c>
      <c r="B37" s="0" t="n">
        <v>11000000</v>
      </c>
      <c r="C37" s="0" t="n">
        <v>2900000</v>
      </c>
      <c r="D37" s="0" t="n">
        <v>562</v>
      </c>
      <c r="E37" s="0" t="n">
        <v>114000000</v>
      </c>
      <c r="F37" s="0" t="n">
        <v>12</v>
      </c>
    </row>
    <row r="38" customFormat="false" ht="15" hidden="false" customHeight="false" outlineLevel="0" collapsed="false">
      <c r="A38" s="0" t="n">
        <v>5037</v>
      </c>
      <c r="B38" s="0" t="n">
        <v>10000000</v>
      </c>
      <c r="C38" s="0" t="n">
        <v>1900000</v>
      </c>
      <c r="D38" s="0" t="n">
        <v>600</v>
      </c>
      <c r="E38" s="0" t="n">
        <v>65000000</v>
      </c>
      <c r="F38" s="0" t="n">
        <v>12</v>
      </c>
    </row>
    <row r="39" customFormat="false" ht="15" hidden="false" customHeight="false" outlineLevel="0" collapsed="false">
      <c r="A39" s="0" t="n">
        <v>5038</v>
      </c>
      <c r="B39" s="0" t="n">
        <v>6500000</v>
      </c>
      <c r="C39" s="0" t="n">
        <v>700000</v>
      </c>
      <c r="D39" s="0" t="n">
        <v>818</v>
      </c>
      <c r="E39" s="0" t="n">
        <v>17000000</v>
      </c>
      <c r="F39" s="0" t="n">
        <v>36</v>
      </c>
    </row>
    <row r="40" customFormat="false" ht="15" hidden="false" customHeight="false" outlineLevel="0" collapsed="false">
      <c r="A40" s="0" t="n">
        <v>5039</v>
      </c>
      <c r="B40" s="0" t="n">
        <v>9500000</v>
      </c>
      <c r="C40" s="0" t="n">
        <v>0</v>
      </c>
      <c r="D40" s="0" t="n">
        <v>612</v>
      </c>
      <c r="E40" s="0" t="n">
        <v>33000000</v>
      </c>
      <c r="F40" s="0" t="n">
        <v>12</v>
      </c>
    </row>
    <row r="41" customFormat="false" ht="15" hidden="false" customHeight="false" outlineLevel="0" collapsed="false">
      <c r="A41" s="0" t="n">
        <v>5040</v>
      </c>
      <c r="B41" s="0" t="n">
        <v>7000000</v>
      </c>
      <c r="C41" s="0" t="n">
        <v>0</v>
      </c>
      <c r="E41" s="0" t="n">
        <v>48000000</v>
      </c>
      <c r="F41" s="0" t="n">
        <v>24</v>
      </c>
    </row>
    <row r="42" customFormat="false" ht="15" hidden="false" customHeight="false" outlineLevel="0" collapsed="false">
      <c r="A42" s="0" t="n">
        <v>5041</v>
      </c>
      <c r="B42" s="0" t="n">
        <v>12000000</v>
      </c>
      <c r="C42" s="0" t="n">
        <v>4000000</v>
      </c>
      <c r="D42" s="0" t="n">
        <v>778</v>
      </c>
      <c r="E42" s="0" t="n">
        <v>124000000</v>
      </c>
      <c r="F42" s="0" t="n">
        <v>6</v>
      </c>
    </row>
    <row r="43" customFormat="false" ht="15" hidden="false" customHeight="false" outlineLevel="0" collapsed="false">
      <c r="A43" s="0" t="n">
        <v>5042</v>
      </c>
      <c r="B43" s="0" t="n">
        <v>38000000</v>
      </c>
      <c r="C43" s="0" t="n">
        <v>0</v>
      </c>
      <c r="D43" s="0" t="n">
        <v>552</v>
      </c>
      <c r="E43" s="0" t="n">
        <v>200000000</v>
      </c>
      <c r="F43" s="0" t="n">
        <v>36</v>
      </c>
    </row>
    <row r="44" customFormat="false" ht="15" hidden="false" customHeight="false" outlineLevel="0" collapsed="false">
      <c r="A44" s="0" t="n">
        <v>5043</v>
      </c>
      <c r="B44" s="0" t="n">
        <v>17000000</v>
      </c>
      <c r="C44" s="0" t="n">
        <v>1400000</v>
      </c>
      <c r="E44" s="0" t="n">
        <v>77000000</v>
      </c>
      <c r="F44" s="0" t="n">
        <v>6</v>
      </c>
    </row>
    <row r="45" customFormat="false" ht="15" hidden="false" customHeight="false" outlineLevel="0" collapsed="false">
      <c r="A45" s="0" t="n">
        <v>5044</v>
      </c>
      <c r="B45" s="0" t="n">
        <v>23000000</v>
      </c>
      <c r="C45" s="0" t="n">
        <v>8400000</v>
      </c>
      <c r="D45" s="0" t="n">
        <v>512</v>
      </c>
      <c r="E45" s="0" t="n">
        <v>200000000</v>
      </c>
      <c r="F45" s="0" t="n">
        <v>24</v>
      </c>
    </row>
    <row r="46" customFormat="false" ht="15" hidden="false" customHeight="false" outlineLevel="0" collapsed="false">
      <c r="A46" s="0" t="n">
        <v>5045</v>
      </c>
      <c r="B46" s="0" t="n">
        <v>14000000</v>
      </c>
      <c r="C46" s="0" t="n">
        <v>5300000</v>
      </c>
      <c r="D46" s="0" t="n">
        <v>671</v>
      </c>
      <c r="E46" s="0" t="n">
        <v>52000000</v>
      </c>
      <c r="F46" s="0" t="n">
        <v>6</v>
      </c>
    </row>
    <row r="47" customFormat="false" ht="15" hidden="false" customHeight="false" outlineLevel="0" collapsed="false">
      <c r="A47" s="0" t="n">
        <v>5046</v>
      </c>
      <c r="B47" s="0" t="n">
        <v>7000000</v>
      </c>
      <c r="C47" s="0" t="n">
        <v>1100000</v>
      </c>
      <c r="D47" s="0" t="n">
        <v>717</v>
      </c>
      <c r="E47" s="0" t="n">
        <v>70000000</v>
      </c>
      <c r="F47" s="0" t="n">
        <v>18</v>
      </c>
    </row>
    <row r="48" customFormat="false" ht="15" hidden="false" customHeight="false" outlineLevel="0" collapsed="false">
      <c r="A48" s="0" t="n">
        <v>5047</v>
      </c>
      <c r="B48" s="0" t="n">
        <v>13000000</v>
      </c>
      <c r="C48" s="0" t="n">
        <v>0</v>
      </c>
      <c r="D48" s="0" t="n">
        <v>593</v>
      </c>
      <c r="E48" s="0" t="n">
        <v>99000000</v>
      </c>
      <c r="F48" s="0" t="n">
        <v>36</v>
      </c>
    </row>
    <row r="49" customFormat="false" ht="15" hidden="false" customHeight="false" outlineLevel="0" collapsed="false">
      <c r="A49" s="0" t="n">
        <v>5048</v>
      </c>
      <c r="B49" s="0" t="n">
        <v>17500000</v>
      </c>
      <c r="C49" s="0" t="n">
        <v>3000000</v>
      </c>
      <c r="D49" s="0" t="n">
        <v>592</v>
      </c>
      <c r="E49" s="0" t="n">
        <v>72000000</v>
      </c>
      <c r="F49" s="0" t="n">
        <v>12</v>
      </c>
    </row>
    <row r="50" customFormat="false" ht="15" hidden="false" customHeight="false" outlineLevel="0" collapsed="false">
      <c r="A50" s="0" t="n">
        <v>5049</v>
      </c>
      <c r="B50" s="0" t="n">
        <v>19500000</v>
      </c>
      <c r="C50" s="0" t="n">
        <v>3800000</v>
      </c>
      <c r="D50" s="0" t="n">
        <v>570</v>
      </c>
      <c r="E50" s="0" t="n">
        <v>200000000</v>
      </c>
      <c r="F50" s="0" t="n">
        <v>6</v>
      </c>
    </row>
    <row r="51" customFormat="false" ht="15" hidden="false" customHeight="false" outlineLevel="0" collapsed="false">
      <c r="A51" s="0" t="n">
        <v>5050</v>
      </c>
      <c r="B51" s="0" t="n">
        <v>12000000</v>
      </c>
      <c r="C51" s="0" t="n">
        <v>2000000</v>
      </c>
      <c r="D51" s="0" t="n">
        <v>672</v>
      </c>
      <c r="E51" s="0" t="n">
        <v>106000000</v>
      </c>
      <c r="F51" s="0" t="n">
        <v>24</v>
      </c>
    </row>
    <row r="52" customFormat="false" ht="15" hidden="false" customHeight="false" outlineLevel="0" collapsed="false">
      <c r="A52" s="0" t="n">
        <v>5051</v>
      </c>
      <c r="B52" s="0" t="n">
        <v>15000000</v>
      </c>
      <c r="C52" s="0" t="n">
        <v>2700000</v>
      </c>
      <c r="D52" s="0" t="n">
        <v>700</v>
      </c>
      <c r="E52" s="0" t="n">
        <v>58000000</v>
      </c>
      <c r="F52" s="0" t="n">
        <v>24</v>
      </c>
    </row>
    <row r="53" customFormat="false" ht="15" hidden="false" customHeight="false" outlineLevel="0" collapsed="false">
      <c r="A53" s="0" t="n">
        <v>5052</v>
      </c>
      <c r="B53" s="0" t="n">
        <v>5000000</v>
      </c>
      <c r="C53" s="0" t="n">
        <v>0</v>
      </c>
      <c r="E53" s="0" t="n">
        <v>13000000</v>
      </c>
      <c r="F53" s="0" t="n">
        <v>6</v>
      </c>
    </row>
    <row r="54" customFormat="false" ht="15" hidden="false" customHeight="false" outlineLevel="0" collapsed="false">
      <c r="A54" s="0" t="n">
        <v>5053</v>
      </c>
      <c r="B54" s="0" t="n">
        <v>43500000</v>
      </c>
      <c r="C54" s="0" t="n">
        <v>7600000</v>
      </c>
      <c r="D54" s="0" t="n">
        <v>431</v>
      </c>
      <c r="E54" s="0" t="n">
        <v>200000000</v>
      </c>
      <c r="F54" s="0" t="n">
        <v>24</v>
      </c>
    </row>
    <row r="55" customFormat="false" ht="15" hidden="false" customHeight="false" outlineLevel="0" collapsed="false">
      <c r="A55" s="0" t="n">
        <v>5054</v>
      </c>
      <c r="B55" s="0" t="n">
        <v>7500000</v>
      </c>
      <c r="C55" s="0" t="n">
        <v>1000000</v>
      </c>
      <c r="D55" s="0" t="n">
        <v>321</v>
      </c>
      <c r="E55" s="0" t="n">
        <v>27000000</v>
      </c>
      <c r="F55" s="0" t="n">
        <v>36</v>
      </c>
    </row>
    <row r="56" customFormat="false" ht="15" hidden="false" customHeight="false" outlineLevel="0" collapsed="false">
      <c r="A56" s="0" t="n">
        <v>5055</v>
      </c>
      <c r="B56" s="0" t="n">
        <v>21000000</v>
      </c>
      <c r="C56" s="0" t="n">
        <v>3600000</v>
      </c>
      <c r="E56" s="0" t="n">
        <v>134000000</v>
      </c>
      <c r="F56" s="0" t="n">
        <v>24</v>
      </c>
    </row>
    <row r="57" customFormat="false" ht="15" hidden="false" customHeight="false" outlineLevel="0" collapsed="false">
      <c r="A57" s="0" t="n">
        <v>5056</v>
      </c>
      <c r="B57" s="0" t="n">
        <v>11500000</v>
      </c>
      <c r="C57" s="0" t="n">
        <v>0</v>
      </c>
      <c r="D57" s="0" t="n">
        <v>567</v>
      </c>
      <c r="E57" s="0" t="n">
        <v>60000000</v>
      </c>
      <c r="F57" s="0" t="n">
        <v>48</v>
      </c>
    </row>
    <row r="58" customFormat="false" ht="15" hidden="false" customHeight="false" outlineLevel="0" collapsed="false">
      <c r="A58" s="0" t="n">
        <v>5057</v>
      </c>
      <c r="B58" s="0" t="n">
        <v>7000000</v>
      </c>
      <c r="C58" s="0" t="n">
        <v>400000</v>
      </c>
      <c r="D58" s="0" t="n">
        <v>500</v>
      </c>
      <c r="E58" s="0" t="n">
        <v>52000000</v>
      </c>
      <c r="F58" s="0" t="n">
        <v>48</v>
      </c>
    </row>
    <row r="59" customFormat="false" ht="15" hidden="false" customHeight="false" outlineLevel="0" collapsed="false">
      <c r="A59" s="0" t="n">
        <v>5058</v>
      </c>
      <c r="B59" s="0" t="n">
        <v>17000000</v>
      </c>
      <c r="C59" s="0" t="n">
        <v>1300000</v>
      </c>
      <c r="D59" s="0" t="n">
        <v>726</v>
      </c>
      <c r="E59" s="0" t="n">
        <v>47000000</v>
      </c>
      <c r="F59" s="0" t="n">
        <v>36</v>
      </c>
    </row>
    <row r="60" customFormat="false" ht="15" hidden="false" customHeight="false" outlineLevel="0" collapsed="false">
      <c r="A60" s="0" t="n">
        <v>5059</v>
      </c>
      <c r="B60" s="0" t="n">
        <v>8500000</v>
      </c>
      <c r="C60" s="0" t="n">
        <v>3300000</v>
      </c>
      <c r="D60" s="0" t="n">
        <v>329</v>
      </c>
      <c r="E60" s="0" t="n">
        <v>75000000</v>
      </c>
      <c r="F60" s="0" t="n">
        <v>48</v>
      </c>
    </row>
    <row r="61" customFormat="false" ht="15" hidden="false" customHeight="false" outlineLevel="0" collapsed="false">
      <c r="A61" s="0" t="n">
        <v>5060</v>
      </c>
      <c r="B61" s="0" t="n">
        <v>20000000</v>
      </c>
      <c r="C61" s="0" t="n">
        <v>0</v>
      </c>
      <c r="D61" s="0" t="n">
        <v>796</v>
      </c>
      <c r="E61" s="0" t="n">
        <v>145000000</v>
      </c>
      <c r="F61" s="0" t="n">
        <v>12</v>
      </c>
    </row>
    <row r="62" customFormat="false" ht="15" hidden="false" customHeight="false" outlineLevel="0" collapsed="false">
      <c r="A62" s="0" t="n">
        <v>5061</v>
      </c>
      <c r="B62" s="0" t="n">
        <v>12000000</v>
      </c>
      <c r="C62" s="0" t="n">
        <v>1300000</v>
      </c>
      <c r="D62" s="0" t="n">
        <v>650</v>
      </c>
      <c r="E62" s="0" t="n">
        <v>49000000</v>
      </c>
      <c r="F62" s="0" t="n">
        <v>12</v>
      </c>
    </row>
    <row r="63" customFormat="false" ht="15" hidden="false" customHeight="false" outlineLevel="0" collapsed="false">
      <c r="A63" s="0" t="n">
        <v>5062</v>
      </c>
      <c r="B63" s="0" t="n">
        <v>11500000</v>
      </c>
      <c r="C63" s="0" t="n">
        <v>0</v>
      </c>
      <c r="D63" s="0" t="n">
        <v>765</v>
      </c>
      <c r="E63" s="0" t="n">
        <v>120000000</v>
      </c>
      <c r="F63" s="0" t="n">
        <v>12</v>
      </c>
    </row>
    <row r="64" customFormat="false" ht="15" hidden="false" customHeight="false" outlineLevel="0" collapsed="false">
      <c r="A64" s="0" t="n">
        <v>5063</v>
      </c>
      <c r="B64" s="0" t="n">
        <v>15500000</v>
      </c>
      <c r="C64" s="0" t="n">
        <v>3200000</v>
      </c>
      <c r="D64" s="0" t="n">
        <v>719</v>
      </c>
      <c r="E64" s="0" t="n">
        <v>92000000</v>
      </c>
      <c r="F64" s="0" t="n">
        <v>48</v>
      </c>
    </row>
    <row r="65" customFormat="false" ht="15" hidden="false" customHeight="false" outlineLevel="0" collapsed="false">
      <c r="A65" s="0" t="n">
        <v>5064</v>
      </c>
      <c r="B65" s="0" t="n">
        <v>7000000</v>
      </c>
      <c r="C65" s="0" t="n">
        <v>2000000</v>
      </c>
      <c r="D65" s="0" t="n">
        <v>803</v>
      </c>
      <c r="E65" s="0" t="n">
        <v>49000000</v>
      </c>
      <c r="F65" s="0" t="n">
        <v>24</v>
      </c>
    </row>
    <row r="66" customFormat="false" ht="15" hidden="false" customHeight="false" outlineLevel="0" collapsed="false">
      <c r="A66" s="0" t="n">
        <v>5065</v>
      </c>
      <c r="B66" s="0" t="n">
        <v>6500000</v>
      </c>
      <c r="C66" s="0" t="n">
        <v>0</v>
      </c>
      <c r="E66" s="0" t="n">
        <v>41000000</v>
      </c>
      <c r="F66" s="0" t="n">
        <v>24</v>
      </c>
    </row>
    <row r="67" customFormat="false" ht="15" hidden="false" customHeight="false" outlineLevel="0" collapsed="false">
      <c r="A67" s="0" t="n">
        <v>5066</v>
      </c>
      <c r="B67" s="0" t="n">
        <v>8000000</v>
      </c>
      <c r="C67" s="0" t="n">
        <v>2600000</v>
      </c>
      <c r="D67" s="0" t="n">
        <v>659</v>
      </c>
      <c r="E67" s="0" t="n">
        <v>69000000</v>
      </c>
      <c r="F67" s="0" t="n">
        <v>24</v>
      </c>
    </row>
    <row r="68" customFormat="false" ht="15" hidden="false" customHeight="false" outlineLevel="0" collapsed="false">
      <c r="A68" s="0" t="n">
        <v>5067</v>
      </c>
      <c r="B68" s="0" t="n">
        <v>19500000</v>
      </c>
      <c r="C68" s="0" t="n">
        <v>4600000</v>
      </c>
      <c r="D68" s="0" t="n">
        <v>710</v>
      </c>
      <c r="E68" s="0" t="n">
        <v>194000000</v>
      </c>
      <c r="F68" s="0" t="n">
        <v>48</v>
      </c>
    </row>
    <row r="69" customFormat="false" ht="15" hidden="false" customHeight="false" outlineLevel="0" collapsed="false">
      <c r="A69" s="0" t="n">
        <v>5068</v>
      </c>
      <c r="B69" s="0" t="n">
        <v>9000000</v>
      </c>
      <c r="C69" s="0" t="n">
        <v>3300000</v>
      </c>
      <c r="D69" s="0" t="n">
        <v>770</v>
      </c>
      <c r="E69" s="0" t="n">
        <v>75000000</v>
      </c>
      <c r="F69" s="0" t="n">
        <v>12</v>
      </c>
    </row>
    <row r="70" customFormat="false" ht="15" hidden="false" customHeight="false" outlineLevel="0" collapsed="false">
      <c r="A70" s="0" t="n">
        <v>5069</v>
      </c>
      <c r="B70" s="0" t="n">
        <v>23500000</v>
      </c>
      <c r="C70" s="0" t="n">
        <v>0</v>
      </c>
      <c r="D70" s="0" t="n">
        <v>817</v>
      </c>
      <c r="E70" s="0" t="n">
        <v>154000000</v>
      </c>
      <c r="F70" s="0" t="n">
        <v>24</v>
      </c>
    </row>
    <row r="71" customFormat="false" ht="15" hidden="false" customHeight="false" outlineLevel="0" collapsed="false">
      <c r="A71" s="0" t="n">
        <v>5070</v>
      </c>
      <c r="B71" s="0" t="n">
        <v>20000000</v>
      </c>
      <c r="C71" s="0" t="n">
        <v>0</v>
      </c>
      <c r="D71" s="0" t="n">
        <v>424</v>
      </c>
      <c r="E71" s="0" t="n">
        <v>85000000</v>
      </c>
      <c r="F71" s="0" t="n">
        <v>36</v>
      </c>
    </row>
    <row r="72" customFormat="false" ht="15" hidden="false" customHeight="false" outlineLevel="0" collapsed="false">
      <c r="A72" s="0" t="n">
        <v>5071</v>
      </c>
      <c r="B72" s="0" t="n">
        <v>14000000</v>
      </c>
      <c r="C72" s="0" t="n">
        <v>5100000</v>
      </c>
      <c r="D72" s="0" t="n">
        <v>719</v>
      </c>
      <c r="E72" s="0" t="n">
        <v>96000000</v>
      </c>
      <c r="F72" s="0" t="n">
        <v>18</v>
      </c>
    </row>
    <row r="73" customFormat="false" ht="15" hidden="false" customHeight="false" outlineLevel="0" collapsed="false">
      <c r="A73" s="0" t="n">
        <v>5072</v>
      </c>
      <c r="B73" s="0" t="n">
        <v>18000000</v>
      </c>
      <c r="C73" s="0" t="n">
        <v>6300000</v>
      </c>
      <c r="D73" s="0" t="n">
        <v>653</v>
      </c>
      <c r="E73" s="0" t="n">
        <v>73000000</v>
      </c>
      <c r="F73" s="0" t="n">
        <v>12</v>
      </c>
    </row>
    <row r="74" customFormat="false" ht="15" hidden="false" customHeight="false" outlineLevel="0" collapsed="false">
      <c r="A74" s="0" t="n">
        <v>5073</v>
      </c>
      <c r="B74" s="0" t="n">
        <v>12000000</v>
      </c>
      <c r="C74" s="0" t="n">
        <v>2000000</v>
      </c>
      <c r="E74" s="0" t="n">
        <v>41000000</v>
      </c>
      <c r="F74" s="0" t="n">
        <v>18</v>
      </c>
    </row>
    <row r="75" customFormat="false" ht="15" hidden="false" customHeight="false" outlineLevel="0" collapsed="false">
      <c r="A75" s="0" t="n">
        <v>5074</v>
      </c>
      <c r="B75" s="0" t="n">
        <v>17000000</v>
      </c>
      <c r="C75" s="0" t="n">
        <v>0</v>
      </c>
      <c r="D75" s="0" t="n">
        <v>711</v>
      </c>
      <c r="E75" s="0" t="n">
        <v>112000000</v>
      </c>
      <c r="F75" s="0" t="n">
        <v>18</v>
      </c>
    </row>
    <row r="76" customFormat="false" ht="15" hidden="false" customHeight="false" outlineLevel="0" collapsed="false">
      <c r="A76" s="0" t="n">
        <v>5075</v>
      </c>
      <c r="B76" s="0" t="n">
        <v>15500000</v>
      </c>
      <c r="C76" s="0" t="n">
        <v>5400000</v>
      </c>
      <c r="D76" s="0" t="n">
        <v>704</v>
      </c>
      <c r="E76" s="0" t="n">
        <v>103000000</v>
      </c>
      <c r="F76" s="0" t="n">
        <v>12</v>
      </c>
    </row>
    <row r="77" customFormat="false" ht="15" hidden="false" customHeight="false" outlineLevel="0" collapsed="false">
      <c r="A77" s="0" t="n">
        <v>5076</v>
      </c>
      <c r="B77" s="0" t="n">
        <v>12500000</v>
      </c>
      <c r="C77" s="0" t="n">
        <v>1300000</v>
      </c>
      <c r="D77" s="0" t="n">
        <v>775</v>
      </c>
      <c r="E77" s="0" t="n">
        <v>65000000</v>
      </c>
      <c r="F77" s="0" t="n">
        <v>24</v>
      </c>
    </row>
    <row r="78" customFormat="false" ht="15" hidden="false" customHeight="false" outlineLevel="0" collapsed="false">
      <c r="A78" s="0" t="n">
        <v>5077</v>
      </c>
      <c r="B78" s="0" t="n">
        <v>5000000</v>
      </c>
      <c r="C78" s="0" t="n">
        <v>1200000</v>
      </c>
      <c r="D78" s="0" t="n">
        <v>400</v>
      </c>
      <c r="E78" s="0" t="n">
        <v>45000000</v>
      </c>
      <c r="F78" s="0" t="n">
        <v>36</v>
      </c>
    </row>
    <row r="79" customFormat="false" ht="15" hidden="false" customHeight="false" outlineLevel="0" collapsed="false">
      <c r="A79" s="0" t="n">
        <v>5078</v>
      </c>
      <c r="B79" s="0" t="n">
        <v>16500000</v>
      </c>
      <c r="C79" s="0" t="n">
        <v>1400000</v>
      </c>
      <c r="D79" s="0" t="n">
        <v>608</v>
      </c>
      <c r="E79" s="0" t="n">
        <v>49000000</v>
      </c>
      <c r="F79" s="0" t="n">
        <v>36</v>
      </c>
    </row>
    <row r="80" customFormat="false" ht="15" hidden="false" customHeight="false" outlineLevel="0" collapsed="false">
      <c r="A80" s="0" t="n">
        <v>5079</v>
      </c>
      <c r="B80" s="0" t="n">
        <v>18500000</v>
      </c>
      <c r="C80" s="0" t="n">
        <v>2400000</v>
      </c>
      <c r="D80" s="0" t="n">
        <v>713</v>
      </c>
      <c r="E80" s="0" t="n">
        <v>87000000</v>
      </c>
      <c r="F80" s="0" t="n">
        <v>18</v>
      </c>
    </row>
    <row r="81" customFormat="false" ht="15" hidden="false" customHeight="false" outlineLevel="0" collapsed="false">
      <c r="A81" s="0" t="n">
        <v>5080</v>
      </c>
      <c r="B81" s="0" t="n">
        <v>20000000</v>
      </c>
      <c r="C81" s="0" t="n">
        <v>2300000</v>
      </c>
      <c r="E81" s="0" t="n">
        <v>147000000</v>
      </c>
      <c r="F81" s="0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</cols>
  <sheetData>
    <row r="1" customFormat="false" ht="15" hidden="false" customHeight="false" outlineLevel="0" collapsed="false">
      <c r="A1" s="2" t="s">
        <v>10</v>
      </c>
      <c r="B1" s="2" t="s">
        <v>4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customFormat="false" ht="15" hidden="false" customHeight="false" outlineLevel="0" collapsed="false">
      <c r="A2" s="0" t="n">
        <v>7001</v>
      </c>
      <c r="B2" s="0" t="n">
        <v>5037</v>
      </c>
      <c r="C2" s="0" t="s">
        <v>16</v>
      </c>
      <c r="D2" s="3" t="n">
        <v>44567</v>
      </c>
      <c r="E2" s="0" t="n">
        <v>31000000</v>
      </c>
      <c r="F2" s="0" t="n">
        <v>3</v>
      </c>
      <c r="G2" s="4" t="s">
        <v>17</v>
      </c>
    </row>
    <row r="3" customFormat="false" ht="15" hidden="false" customHeight="false" outlineLevel="0" collapsed="false">
      <c r="A3" s="0" t="n">
        <v>7002</v>
      </c>
      <c r="B3" s="0" t="n">
        <v>5051</v>
      </c>
      <c r="C3" s="0" t="s">
        <v>18</v>
      </c>
      <c r="D3" s="3" t="n">
        <v>44591</v>
      </c>
      <c r="E3" s="0" t="n">
        <v>21000000</v>
      </c>
      <c r="F3" s="0" t="n">
        <v>8</v>
      </c>
      <c r="G3" s="4" t="s">
        <v>19</v>
      </c>
    </row>
    <row r="4" customFormat="false" ht="15" hidden="false" customHeight="false" outlineLevel="0" collapsed="false">
      <c r="A4" s="0" t="n">
        <v>7003</v>
      </c>
      <c r="B4" s="0" t="n">
        <v>5034</v>
      </c>
      <c r="C4" s="0" t="s">
        <v>18</v>
      </c>
      <c r="D4" s="3" t="n">
        <v>44614</v>
      </c>
      <c r="E4" s="0" t="n">
        <v>51000000</v>
      </c>
      <c r="F4" s="0" t="n">
        <v>7</v>
      </c>
      <c r="G4" s="4" t="s">
        <v>19</v>
      </c>
    </row>
    <row r="5" customFormat="false" ht="15" hidden="false" customHeight="false" outlineLevel="0" collapsed="false">
      <c r="A5" s="0" t="n">
        <v>7004</v>
      </c>
      <c r="B5" s="0" t="n">
        <v>5061</v>
      </c>
      <c r="C5" s="0" t="s">
        <v>16</v>
      </c>
      <c r="D5" s="3" t="n">
        <v>44615</v>
      </c>
      <c r="E5" s="0" t="n">
        <v>40000000</v>
      </c>
      <c r="F5" s="0" t="n">
        <v>90</v>
      </c>
      <c r="G5" s="4" t="s">
        <v>17</v>
      </c>
    </row>
    <row r="6" customFormat="false" ht="15" hidden="false" customHeight="false" outlineLevel="0" collapsed="false">
      <c r="A6" s="0" t="n">
        <v>7005</v>
      </c>
      <c r="B6" s="0" t="n">
        <v>5038</v>
      </c>
      <c r="C6" s="0" t="s">
        <v>20</v>
      </c>
      <c r="D6" s="3" t="n">
        <v>44616</v>
      </c>
      <c r="E6" s="0" t="n">
        <v>33000000</v>
      </c>
      <c r="F6" s="0" t="n">
        <v>0</v>
      </c>
      <c r="G6" s="4" t="s">
        <v>17</v>
      </c>
    </row>
    <row r="7" customFormat="false" ht="15" hidden="false" customHeight="false" outlineLevel="0" collapsed="false">
      <c r="A7" s="0" t="n">
        <v>7006</v>
      </c>
      <c r="B7" s="0" t="n">
        <v>5025</v>
      </c>
      <c r="C7" s="0" t="s">
        <v>18</v>
      </c>
      <c r="D7" s="3" t="n">
        <v>44622</v>
      </c>
      <c r="E7" s="0" t="n">
        <v>47000000</v>
      </c>
      <c r="F7" s="0" t="n">
        <v>68</v>
      </c>
      <c r="G7" s="4" t="s">
        <v>17</v>
      </c>
    </row>
    <row r="8" customFormat="false" ht="15" hidden="false" customHeight="false" outlineLevel="0" collapsed="false">
      <c r="A8" s="0" t="n">
        <v>7007</v>
      </c>
      <c r="B8" s="0" t="n">
        <v>5032</v>
      </c>
      <c r="C8" s="0" t="s">
        <v>21</v>
      </c>
      <c r="D8" s="3" t="n">
        <v>44623</v>
      </c>
      <c r="E8" s="0" t="n">
        <v>61000000</v>
      </c>
      <c r="F8" s="0" t="n">
        <v>8</v>
      </c>
      <c r="G8" s="4" t="s">
        <v>19</v>
      </c>
    </row>
    <row r="9" customFormat="false" ht="15" hidden="false" customHeight="false" outlineLevel="0" collapsed="false">
      <c r="A9" s="0" t="n">
        <v>7008</v>
      </c>
      <c r="B9" s="0" t="n">
        <v>5039</v>
      </c>
      <c r="C9" s="0" t="s">
        <v>21</v>
      </c>
      <c r="D9" s="3" t="n">
        <v>44623</v>
      </c>
      <c r="E9" s="0" t="n">
        <v>48000000</v>
      </c>
      <c r="F9" s="0" t="n">
        <v>7</v>
      </c>
      <c r="G9" s="4" t="s">
        <v>19</v>
      </c>
    </row>
    <row r="10" customFormat="false" ht="15" hidden="false" customHeight="false" outlineLevel="0" collapsed="false">
      <c r="A10" s="0" t="n">
        <v>7009</v>
      </c>
      <c r="B10" s="0" t="n">
        <v>5039</v>
      </c>
      <c r="C10" s="0" t="s">
        <v>18</v>
      </c>
      <c r="D10" s="3" t="n">
        <v>44624</v>
      </c>
      <c r="E10" s="0" t="n">
        <v>16000000</v>
      </c>
      <c r="F10" s="0" t="n">
        <v>4</v>
      </c>
      <c r="G10" s="4" t="s">
        <v>17</v>
      </c>
    </row>
    <row r="11" customFormat="false" ht="15" hidden="false" customHeight="false" outlineLevel="0" collapsed="false">
      <c r="A11" s="0" t="n">
        <v>7010</v>
      </c>
      <c r="B11" s="0" t="n">
        <v>5058</v>
      </c>
      <c r="C11" s="0" t="s">
        <v>21</v>
      </c>
      <c r="D11" s="3" t="n">
        <v>44634</v>
      </c>
      <c r="E11" s="0" t="n">
        <v>21000000</v>
      </c>
      <c r="F11" s="0" t="n">
        <v>3</v>
      </c>
      <c r="G11" s="4" t="s">
        <v>17</v>
      </c>
    </row>
    <row r="12" customFormat="false" ht="15" hidden="false" customHeight="false" outlineLevel="0" collapsed="false">
      <c r="A12" s="0" t="n">
        <v>7011</v>
      </c>
      <c r="B12" s="0" t="n">
        <v>5072</v>
      </c>
      <c r="C12" s="0" t="s">
        <v>16</v>
      </c>
      <c r="D12" s="3" t="n">
        <v>44639</v>
      </c>
      <c r="E12" s="0" t="n">
        <v>46000000</v>
      </c>
      <c r="F12" s="0" t="n">
        <v>6</v>
      </c>
      <c r="G12" s="4" t="s">
        <v>17</v>
      </c>
    </row>
    <row r="13" customFormat="false" ht="15" hidden="false" customHeight="false" outlineLevel="0" collapsed="false">
      <c r="A13" s="0" t="n">
        <v>7012</v>
      </c>
      <c r="B13" s="0" t="n">
        <v>5076</v>
      </c>
      <c r="C13" s="0" t="s">
        <v>20</v>
      </c>
      <c r="D13" s="3" t="n">
        <v>44647</v>
      </c>
      <c r="E13" s="0" t="n">
        <v>79000000</v>
      </c>
      <c r="F13" s="0" t="n">
        <v>2</v>
      </c>
      <c r="G13" s="4" t="s">
        <v>17</v>
      </c>
    </row>
    <row r="14" customFormat="false" ht="15" hidden="false" customHeight="false" outlineLevel="0" collapsed="false">
      <c r="A14" s="0" t="n">
        <v>7013</v>
      </c>
      <c r="B14" s="0" t="n">
        <v>5042</v>
      </c>
      <c r="C14" s="0" t="s">
        <v>20</v>
      </c>
      <c r="D14" s="3" t="n">
        <v>44649</v>
      </c>
      <c r="E14" s="0" t="n">
        <v>24000000</v>
      </c>
      <c r="F14" s="0" t="n">
        <v>45</v>
      </c>
      <c r="G14" s="4" t="s">
        <v>17</v>
      </c>
    </row>
    <row r="15" customFormat="false" ht="15" hidden="false" customHeight="false" outlineLevel="0" collapsed="false">
      <c r="A15" s="0" t="n">
        <v>7014</v>
      </c>
      <c r="B15" s="0" t="n">
        <v>5053</v>
      </c>
      <c r="C15" s="0" t="s">
        <v>21</v>
      </c>
      <c r="D15" s="3" t="n">
        <v>44666</v>
      </c>
      <c r="E15" s="0" t="n">
        <v>74000000</v>
      </c>
      <c r="F15" s="0" t="n">
        <v>3</v>
      </c>
      <c r="G15" s="4" t="s">
        <v>19</v>
      </c>
    </row>
    <row r="16" customFormat="false" ht="15" hidden="false" customHeight="false" outlineLevel="0" collapsed="false">
      <c r="A16" s="0" t="n">
        <v>7015</v>
      </c>
      <c r="B16" s="0" t="n">
        <v>5015</v>
      </c>
      <c r="C16" s="0" t="s">
        <v>20</v>
      </c>
      <c r="D16" s="3" t="n">
        <v>44670</v>
      </c>
      <c r="E16" s="0" t="n">
        <v>52000000</v>
      </c>
      <c r="F16" s="0" t="n">
        <v>0</v>
      </c>
      <c r="G16" s="4" t="s">
        <v>19</v>
      </c>
    </row>
    <row r="17" customFormat="false" ht="15" hidden="false" customHeight="false" outlineLevel="0" collapsed="false">
      <c r="A17" s="0" t="n">
        <v>7016</v>
      </c>
      <c r="B17" s="0" t="n">
        <v>5063</v>
      </c>
      <c r="C17" s="0" t="s">
        <v>16</v>
      </c>
      <c r="D17" s="3" t="n">
        <v>44670</v>
      </c>
      <c r="E17" s="0" t="n">
        <v>12000000</v>
      </c>
      <c r="F17" s="0" t="n">
        <v>7</v>
      </c>
      <c r="G17" s="4" t="s">
        <v>17</v>
      </c>
    </row>
    <row r="18" customFormat="false" ht="15" hidden="false" customHeight="false" outlineLevel="0" collapsed="false">
      <c r="A18" s="0" t="n">
        <v>7017</v>
      </c>
      <c r="B18" s="0" t="n">
        <v>5030</v>
      </c>
      <c r="C18" s="0" t="s">
        <v>20</v>
      </c>
      <c r="D18" s="3" t="n">
        <v>44671</v>
      </c>
      <c r="E18" s="0" t="n">
        <v>22000000</v>
      </c>
      <c r="F18" s="0" t="n">
        <v>2</v>
      </c>
      <c r="G18" s="4" t="s">
        <v>17</v>
      </c>
    </row>
    <row r="19" customFormat="false" ht="15" hidden="false" customHeight="false" outlineLevel="0" collapsed="false">
      <c r="A19" s="0" t="n">
        <v>7018</v>
      </c>
      <c r="B19" s="0" t="n">
        <v>5038</v>
      </c>
      <c r="C19" s="0" t="s">
        <v>16</v>
      </c>
      <c r="D19" s="3" t="n">
        <v>44684</v>
      </c>
      <c r="E19" s="0" t="n">
        <v>7000000</v>
      </c>
      <c r="F19" s="0" t="n">
        <v>2</v>
      </c>
      <c r="G19" s="4" t="s">
        <v>17</v>
      </c>
    </row>
    <row r="20" customFormat="false" ht="15" hidden="false" customHeight="false" outlineLevel="0" collapsed="false">
      <c r="A20" s="0" t="n">
        <v>7019</v>
      </c>
      <c r="B20" s="0" t="n">
        <v>5010</v>
      </c>
      <c r="C20" s="0" t="s">
        <v>20</v>
      </c>
      <c r="D20" s="3" t="n">
        <v>44687</v>
      </c>
      <c r="E20" s="0" t="n">
        <v>50000000</v>
      </c>
      <c r="F20" s="0" t="n">
        <v>36</v>
      </c>
      <c r="G20" s="4" t="s">
        <v>17</v>
      </c>
    </row>
    <row r="21" customFormat="false" ht="15" hidden="false" customHeight="false" outlineLevel="0" collapsed="false">
      <c r="A21" s="0" t="n">
        <v>7020</v>
      </c>
      <c r="B21" s="0" t="n">
        <v>5070</v>
      </c>
      <c r="C21" s="0" t="s">
        <v>21</v>
      </c>
      <c r="D21" s="3" t="n">
        <v>44697</v>
      </c>
      <c r="E21" s="0" t="n">
        <v>6000000</v>
      </c>
      <c r="F21" s="0" t="n">
        <v>4</v>
      </c>
      <c r="G21" s="4" t="s">
        <v>17</v>
      </c>
    </row>
    <row r="22" customFormat="false" ht="15" hidden="false" customHeight="false" outlineLevel="0" collapsed="false">
      <c r="A22" s="0" t="n">
        <v>7021</v>
      </c>
      <c r="B22" s="0" t="n">
        <v>5019</v>
      </c>
      <c r="C22" s="0" t="s">
        <v>16</v>
      </c>
      <c r="D22" s="3" t="n">
        <v>44720</v>
      </c>
      <c r="E22" s="0" t="n">
        <v>35000000</v>
      </c>
      <c r="F22" s="0" t="n">
        <v>1</v>
      </c>
      <c r="G22" s="4" t="s">
        <v>19</v>
      </c>
    </row>
    <row r="23" customFormat="false" ht="15" hidden="false" customHeight="false" outlineLevel="0" collapsed="false">
      <c r="A23" s="0" t="n">
        <v>7022</v>
      </c>
      <c r="B23" s="0" t="n">
        <v>5046</v>
      </c>
      <c r="C23" s="0" t="s">
        <v>21</v>
      </c>
      <c r="D23" s="3" t="n">
        <v>44737</v>
      </c>
      <c r="E23" s="0" t="n">
        <v>18000000</v>
      </c>
      <c r="F23" s="0" t="n">
        <v>1</v>
      </c>
      <c r="G23" s="4" t="s">
        <v>17</v>
      </c>
    </row>
    <row r="24" customFormat="false" ht="15" hidden="false" customHeight="false" outlineLevel="0" collapsed="false">
      <c r="A24" s="0" t="n">
        <v>7023</v>
      </c>
      <c r="B24" s="0" t="n">
        <v>5013</v>
      </c>
      <c r="C24" s="0" t="s">
        <v>18</v>
      </c>
      <c r="D24" s="3" t="n">
        <v>44738</v>
      </c>
      <c r="E24" s="0" t="n">
        <v>70000000</v>
      </c>
      <c r="F24" s="0" t="n">
        <v>7</v>
      </c>
      <c r="G24" s="4" t="s">
        <v>17</v>
      </c>
    </row>
    <row r="25" customFormat="false" ht="15" hidden="false" customHeight="false" outlineLevel="0" collapsed="false">
      <c r="A25" s="0" t="n">
        <v>7024</v>
      </c>
      <c r="B25" s="0" t="n">
        <v>5039</v>
      </c>
      <c r="C25" s="0" t="s">
        <v>20</v>
      </c>
      <c r="D25" s="3" t="n">
        <v>44745</v>
      </c>
      <c r="E25" s="0" t="n">
        <v>80000000</v>
      </c>
      <c r="F25" s="0" t="n">
        <v>4</v>
      </c>
      <c r="G25" s="4" t="s">
        <v>19</v>
      </c>
    </row>
    <row r="26" customFormat="false" ht="15" hidden="false" customHeight="false" outlineLevel="0" collapsed="false">
      <c r="A26" s="0" t="n">
        <v>7025</v>
      </c>
      <c r="B26" s="0" t="n">
        <v>5078</v>
      </c>
      <c r="C26" s="0" t="s">
        <v>18</v>
      </c>
      <c r="D26" s="3" t="n">
        <v>44768</v>
      </c>
      <c r="E26" s="0" t="n">
        <v>75000000</v>
      </c>
      <c r="F26" s="0" t="n">
        <v>8</v>
      </c>
      <c r="G26" s="4" t="s">
        <v>17</v>
      </c>
    </row>
    <row r="27" customFormat="false" ht="15" hidden="false" customHeight="false" outlineLevel="0" collapsed="false">
      <c r="A27" s="0" t="n">
        <v>7026</v>
      </c>
      <c r="B27" s="0" t="n">
        <v>5046</v>
      </c>
      <c r="C27" s="0" t="s">
        <v>18</v>
      </c>
      <c r="D27" s="3" t="n">
        <v>44769</v>
      </c>
      <c r="E27" s="0" t="n">
        <v>30000000</v>
      </c>
      <c r="F27" s="0" t="n">
        <v>9</v>
      </c>
      <c r="G27" s="4" t="s">
        <v>19</v>
      </c>
    </row>
    <row r="28" customFormat="false" ht="15" hidden="false" customHeight="false" outlineLevel="0" collapsed="false">
      <c r="A28" s="0" t="n">
        <v>7027</v>
      </c>
      <c r="B28" s="0" t="n">
        <v>5062</v>
      </c>
      <c r="C28" s="0" t="s">
        <v>20</v>
      </c>
      <c r="D28" s="3" t="n">
        <v>44774</v>
      </c>
      <c r="E28" s="0" t="n">
        <v>45000000</v>
      </c>
      <c r="F28" s="0" t="n">
        <v>0</v>
      </c>
      <c r="G28" s="4" t="s">
        <v>17</v>
      </c>
    </row>
    <row r="29" customFormat="false" ht="15" hidden="false" customHeight="false" outlineLevel="0" collapsed="false">
      <c r="A29" s="0" t="n">
        <v>7028</v>
      </c>
      <c r="B29" s="0" t="n">
        <v>5044</v>
      </c>
      <c r="C29" s="0" t="s">
        <v>20</v>
      </c>
      <c r="D29" s="3" t="n">
        <v>44777</v>
      </c>
      <c r="E29" s="0" t="n">
        <v>48000000</v>
      </c>
      <c r="F29" s="0" t="n">
        <v>1</v>
      </c>
      <c r="G29" s="4" t="s">
        <v>17</v>
      </c>
    </row>
    <row r="30" customFormat="false" ht="15" hidden="false" customHeight="false" outlineLevel="0" collapsed="false">
      <c r="A30" s="0" t="n">
        <v>7029</v>
      </c>
      <c r="B30" s="0" t="n">
        <v>5033</v>
      </c>
      <c r="C30" s="0" t="s">
        <v>18</v>
      </c>
      <c r="D30" s="3" t="n">
        <v>44782</v>
      </c>
      <c r="E30" s="0" t="n">
        <v>34000000</v>
      </c>
      <c r="F30" s="0" t="n">
        <v>0</v>
      </c>
      <c r="G30" s="4" t="s">
        <v>17</v>
      </c>
    </row>
    <row r="31" customFormat="false" ht="15" hidden="false" customHeight="false" outlineLevel="0" collapsed="false">
      <c r="A31" s="0" t="n">
        <v>7030</v>
      </c>
      <c r="B31" s="0" t="n">
        <v>5063</v>
      </c>
      <c r="C31" s="0" t="s">
        <v>16</v>
      </c>
      <c r="D31" s="3" t="n">
        <v>44796</v>
      </c>
      <c r="E31" s="0" t="n">
        <v>78000000</v>
      </c>
      <c r="F31" s="0" t="n">
        <v>8</v>
      </c>
      <c r="G31" s="4" t="s">
        <v>17</v>
      </c>
    </row>
    <row r="32" customFormat="false" ht="15" hidden="false" customHeight="false" outlineLevel="0" collapsed="false">
      <c r="A32" s="0" t="n">
        <v>7031</v>
      </c>
      <c r="B32" s="0" t="n">
        <v>5067</v>
      </c>
      <c r="C32" s="0" t="s">
        <v>20</v>
      </c>
      <c r="D32" s="3" t="n">
        <v>44802</v>
      </c>
      <c r="E32" s="0" t="n">
        <v>60000000</v>
      </c>
      <c r="F32" s="0" t="n">
        <v>9</v>
      </c>
      <c r="G32" s="4" t="s">
        <v>19</v>
      </c>
    </row>
    <row r="33" customFormat="false" ht="15" hidden="false" customHeight="false" outlineLevel="0" collapsed="false">
      <c r="A33" s="0" t="n">
        <v>7032</v>
      </c>
      <c r="B33" s="0" t="n">
        <v>5066</v>
      </c>
      <c r="C33" s="0" t="s">
        <v>16</v>
      </c>
      <c r="D33" s="3" t="n">
        <v>44814</v>
      </c>
      <c r="E33" s="0" t="n">
        <v>69000000</v>
      </c>
      <c r="F33" s="0" t="n">
        <v>4</v>
      </c>
      <c r="G33" s="4" t="s">
        <v>17</v>
      </c>
    </row>
    <row r="34" customFormat="false" ht="15" hidden="false" customHeight="false" outlineLevel="0" collapsed="false">
      <c r="A34" s="0" t="n">
        <v>7033</v>
      </c>
      <c r="B34" s="0" t="n">
        <v>5013</v>
      </c>
      <c r="C34" s="0" t="s">
        <v>18</v>
      </c>
      <c r="D34" s="3" t="n">
        <v>44817</v>
      </c>
      <c r="E34" s="0" t="n">
        <v>11000000</v>
      </c>
      <c r="F34" s="0" t="n">
        <v>0</v>
      </c>
      <c r="G34" s="4" t="s">
        <v>17</v>
      </c>
    </row>
    <row r="35" customFormat="false" ht="15" hidden="false" customHeight="false" outlineLevel="0" collapsed="false">
      <c r="A35" s="0" t="n">
        <v>7034</v>
      </c>
      <c r="B35" s="0" t="n">
        <v>5057</v>
      </c>
      <c r="C35" s="0" t="s">
        <v>20</v>
      </c>
      <c r="D35" s="3" t="n">
        <v>44818</v>
      </c>
      <c r="E35" s="0" t="n">
        <v>40000000</v>
      </c>
      <c r="F35" s="0" t="n">
        <v>9</v>
      </c>
      <c r="G35" s="4" t="s">
        <v>19</v>
      </c>
    </row>
    <row r="36" customFormat="false" ht="15" hidden="false" customHeight="false" outlineLevel="0" collapsed="false">
      <c r="A36" s="0" t="n">
        <v>7035</v>
      </c>
      <c r="B36" s="0" t="n">
        <v>5068</v>
      </c>
      <c r="C36" s="0" t="s">
        <v>18</v>
      </c>
      <c r="D36" s="3" t="n">
        <v>44847</v>
      </c>
      <c r="E36" s="0" t="n">
        <v>15000000</v>
      </c>
      <c r="F36" s="0" t="n">
        <v>5</v>
      </c>
      <c r="G36" s="4" t="s">
        <v>17</v>
      </c>
    </row>
    <row r="37" customFormat="false" ht="15" hidden="false" customHeight="false" outlineLevel="0" collapsed="false">
      <c r="A37" s="0" t="n">
        <v>7036</v>
      </c>
      <c r="B37" s="0" t="n">
        <v>5060</v>
      </c>
      <c r="C37" s="0" t="s">
        <v>18</v>
      </c>
      <c r="D37" s="3" t="n">
        <v>44853</v>
      </c>
      <c r="E37" s="0" t="n">
        <v>55000000</v>
      </c>
      <c r="F37" s="0" t="n">
        <v>7</v>
      </c>
      <c r="G37" s="4" t="s">
        <v>17</v>
      </c>
    </row>
    <row r="38" customFormat="false" ht="15" hidden="false" customHeight="false" outlineLevel="0" collapsed="false">
      <c r="A38" s="0" t="n">
        <v>7037</v>
      </c>
      <c r="B38" s="0" t="n">
        <v>5049</v>
      </c>
      <c r="C38" s="0" t="s">
        <v>18</v>
      </c>
      <c r="D38" s="3" t="n">
        <v>44870</v>
      </c>
      <c r="E38" s="0" t="n">
        <v>42000000</v>
      </c>
      <c r="F38" s="0" t="n">
        <v>2</v>
      </c>
      <c r="G38" s="4" t="s">
        <v>17</v>
      </c>
    </row>
    <row r="39" customFormat="false" ht="15" hidden="false" customHeight="false" outlineLevel="0" collapsed="false">
      <c r="A39" s="0" t="n">
        <v>7038</v>
      </c>
      <c r="B39" s="0" t="n">
        <v>5013</v>
      </c>
      <c r="C39" s="0" t="s">
        <v>21</v>
      </c>
      <c r="D39" s="3" t="n">
        <v>44883</v>
      </c>
      <c r="E39" s="0" t="n">
        <v>45000000</v>
      </c>
      <c r="F39" s="0" t="n">
        <v>5</v>
      </c>
      <c r="G39" s="4" t="s">
        <v>17</v>
      </c>
    </row>
    <row r="40" customFormat="false" ht="15" hidden="false" customHeight="false" outlineLevel="0" collapsed="false">
      <c r="A40" s="0" t="n">
        <v>7039</v>
      </c>
      <c r="B40" s="0" t="n">
        <v>5077</v>
      </c>
      <c r="C40" s="0" t="s">
        <v>20</v>
      </c>
      <c r="D40" s="3" t="n">
        <v>44915</v>
      </c>
      <c r="E40" s="0" t="n">
        <v>74000000</v>
      </c>
      <c r="F40" s="0" t="n">
        <v>10</v>
      </c>
      <c r="G40" s="4" t="s">
        <v>17</v>
      </c>
    </row>
    <row r="41" customFormat="false" ht="15" hidden="false" customHeight="false" outlineLevel="0" collapsed="false">
      <c r="A41" s="0" t="n">
        <v>7040</v>
      </c>
      <c r="B41" s="0" t="n">
        <v>5060</v>
      </c>
      <c r="C41" s="0" t="s">
        <v>16</v>
      </c>
      <c r="D41" s="3" t="n">
        <v>44926</v>
      </c>
      <c r="E41" s="0" t="n">
        <v>64000000</v>
      </c>
      <c r="F41" s="0" t="n">
        <v>2</v>
      </c>
      <c r="G41" s="4" t="s">
        <v>19</v>
      </c>
    </row>
    <row r="42" customFormat="false" ht="15" hidden="false" customHeight="false" outlineLevel="0" collapsed="false">
      <c r="A42" s="0" t="n">
        <v>7041</v>
      </c>
      <c r="B42" s="0" t="n">
        <v>5063</v>
      </c>
      <c r="C42" s="0" t="s">
        <v>21</v>
      </c>
      <c r="D42" s="3" t="n">
        <v>44929</v>
      </c>
      <c r="E42" s="0" t="n">
        <v>43000000</v>
      </c>
      <c r="F42" s="0" t="n">
        <v>2</v>
      </c>
      <c r="G42" s="4" t="s">
        <v>19</v>
      </c>
    </row>
    <row r="43" customFormat="false" ht="15" hidden="false" customHeight="false" outlineLevel="0" collapsed="false">
      <c r="A43" s="0" t="n">
        <v>7042</v>
      </c>
      <c r="B43" s="0" t="n">
        <v>5030</v>
      </c>
      <c r="C43" s="0" t="s">
        <v>18</v>
      </c>
      <c r="D43" s="3" t="n">
        <v>44933</v>
      </c>
      <c r="E43" s="0" t="n">
        <v>75000000</v>
      </c>
      <c r="F43" s="0" t="n">
        <v>4</v>
      </c>
      <c r="G43" s="4" t="s">
        <v>17</v>
      </c>
    </row>
    <row r="44" customFormat="false" ht="15" hidden="false" customHeight="false" outlineLevel="0" collapsed="false">
      <c r="A44" s="0" t="n">
        <v>7043</v>
      </c>
      <c r="B44" s="0" t="n">
        <v>5054</v>
      </c>
      <c r="C44" s="0" t="s">
        <v>21</v>
      </c>
      <c r="D44" s="3" t="n">
        <v>44936</v>
      </c>
      <c r="E44" s="0" t="n">
        <v>14000000</v>
      </c>
      <c r="F44" s="0" t="n">
        <v>264</v>
      </c>
      <c r="G44" s="4" t="s">
        <v>19</v>
      </c>
    </row>
    <row r="45" customFormat="false" ht="15" hidden="false" customHeight="false" outlineLevel="0" collapsed="false">
      <c r="A45" s="0" t="n">
        <v>7044</v>
      </c>
      <c r="B45" s="0" t="n">
        <v>5024</v>
      </c>
      <c r="C45" s="0" t="s">
        <v>21</v>
      </c>
      <c r="D45" s="3" t="n">
        <v>44937</v>
      </c>
      <c r="E45" s="0" t="n">
        <v>59000000</v>
      </c>
      <c r="F45" s="0" t="n">
        <v>3</v>
      </c>
      <c r="G45" s="4" t="s">
        <v>17</v>
      </c>
    </row>
    <row r="46" customFormat="false" ht="15" hidden="false" customHeight="false" outlineLevel="0" collapsed="false">
      <c r="A46" s="0" t="n">
        <v>7045</v>
      </c>
      <c r="B46" s="0" t="n">
        <v>5077</v>
      </c>
      <c r="C46" s="0" t="s">
        <v>21</v>
      </c>
      <c r="D46" s="3" t="n">
        <v>44949</v>
      </c>
      <c r="E46" s="0" t="n">
        <v>77000000</v>
      </c>
      <c r="F46" s="0" t="n">
        <v>5</v>
      </c>
      <c r="G46" s="4" t="s">
        <v>19</v>
      </c>
    </row>
    <row r="47" customFormat="false" ht="15" hidden="false" customHeight="false" outlineLevel="0" collapsed="false">
      <c r="A47" s="0" t="n">
        <v>7046</v>
      </c>
      <c r="B47" s="0" t="n">
        <v>5024</v>
      </c>
      <c r="C47" s="0" t="s">
        <v>16</v>
      </c>
      <c r="D47" s="3" t="n">
        <v>44950</v>
      </c>
      <c r="E47" s="0" t="n">
        <v>38000000</v>
      </c>
      <c r="F47" s="0" t="n">
        <v>1</v>
      </c>
      <c r="G47" s="4" t="s">
        <v>17</v>
      </c>
    </row>
    <row r="48" customFormat="false" ht="15" hidden="false" customHeight="false" outlineLevel="0" collapsed="false">
      <c r="A48" s="0" t="n">
        <v>7047</v>
      </c>
      <c r="B48" s="0" t="n">
        <v>5033</v>
      </c>
      <c r="C48" s="0" t="s">
        <v>20</v>
      </c>
      <c r="D48" s="3" t="n">
        <v>44969</v>
      </c>
      <c r="E48" s="0" t="n">
        <v>29000000</v>
      </c>
      <c r="F48" s="0" t="n">
        <v>339</v>
      </c>
      <c r="G48" s="4" t="s">
        <v>19</v>
      </c>
    </row>
    <row r="49" customFormat="false" ht="15" hidden="false" customHeight="false" outlineLevel="0" collapsed="false">
      <c r="A49" s="0" t="n">
        <v>7048</v>
      </c>
      <c r="B49" s="0" t="n">
        <v>5008</v>
      </c>
      <c r="C49" s="0" t="s">
        <v>16</v>
      </c>
      <c r="D49" s="3" t="n">
        <v>44970</v>
      </c>
      <c r="E49" s="0" t="n">
        <v>5000000</v>
      </c>
      <c r="F49" s="0" t="n">
        <v>6</v>
      </c>
      <c r="G49" s="4" t="s">
        <v>17</v>
      </c>
    </row>
    <row r="50" customFormat="false" ht="15" hidden="false" customHeight="false" outlineLevel="0" collapsed="false">
      <c r="A50" s="0" t="n">
        <v>7049</v>
      </c>
      <c r="B50" s="0" t="n">
        <v>5032</v>
      </c>
      <c r="C50" s="0" t="s">
        <v>16</v>
      </c>
      <c r="D50" s="3" t="n">
        <v>44975</v>
      </c>
      <c r="E50" s="0" t="n">
        <v>37000000</v>
      </c>
      <c r="F50" s="0" t="n">
        <v>8</v>
      </c>
      <c r="G50" s="4" t="s">
        <v>17</v>
      </c>
    </row>
    <row r="51" customFormat="false" ht="15" hidden="false" customHeight="false" outlineLevel="0" collapsed="false">
      <c r="A51" s="0" t="n">
        <v>7050</v>
      </c>
      <c r="B51" s="0" t="n">
        <v>5045</v>
      </c>
      <c r="C51" s="0" t="s">
        <v>21</v>
      </c>
      <c r="D51" s="3" t="n">
        <v>44989</v>
      </c>
      <c r="E51" s="0" t="n">
        <v>33000000</v>
      </c>
      <c r="F51" s="0" t="n">
        <v>40</v>
      </c>
      <c r="G51" s="4" t="s">
        <v>19</v>
      </c>
    </row>
    <row r="52" customFormat="false" ht="15" hidden="false" customHeight="false" outlineLevel="0" collapsed="false">
      <c r="A52" s="0" t="n">
        <v>7051</v>
      </c>
      <c r="B52" s="0" t="n">
        <v>5015</v>
      </c>
      <c r="C52" s="0" t="s">
        <v>16</v>
      </c>
      <c r="D52" s="3" t="n">
        <v>45009</v>
      </c>
      <c r="E52" s="0" t="n">
        <v>73000000</v>
      </c>
      <c r="F52" s="0" t="n">
        <v>5</v>
      </c>
      <c r="G52" s="4" t="s">
        <v>17</v>
      </c>
    </row>
    <row r="53" customFormat="false" ht="15" hidden="false" customHeight="false" outlineLevel="0" collapsed="false">
      <c r="A53" s="0" t="n">
        <v>7052</v>
      </c>
      <c r="B53" s="0" t="n">
        <v>5048</v>
      </c>
      <c r="C53" s="0" t="s">
        <v>16</v>
      </c>
      <c r="D53" s="3" t="n">
        <v>45009</v>
      </c>
      <c r="E53" s="0" t="n">
        <v>64000000</v>
      </c>
      <c r="F53" s="0" t="n">
        <v>57</v>
      </c>
      <c r="G53" s="4" t="s">
        <v>19</v>
      </c>
    </row>
    <row r="54" customFormat="false" ht="15" hidden="false" customHeight="false" outlineLevel="0" collapsed="false">
      <c r="A54" s="0" t="n">
        <v>7053</v>
      </c>
      <c r="B54" s="0" t="n">
        <v>5036</v>
      </c>
      <c r="C54" s="0" t="s">
        <v>20</v>
      </c>
      <c r="D54" s="3" t="n">
        <v>45014</v>
      </c>
      <c r="E54" s="0" t="n">
        <v>67000000</v>
      </c>
      <c r="F54" s="0" t="n">
        <v>1</v>
      </c>
      <c r="G54" s="4" t="s">
        <v>17</v>
      </c>
    </row>
    <row r="55" customFormat="false" ht="15" hidden="false" customHeight="false" outlineLevel="0" collapsed="false">
      <c r="A55" s="0" t="n">
        <v>7054</v>
      </c>
      <c r="B55" s="0" t="n">
        <v>5056</v>
      </c>
      <c r="C55" s="0" t="s">
        <v>20</v>
      </c>
      <c r="D55" s="3" t="n">
        <v>45034</v>
      </c>
      <c r="E55" s="0" t="n">
        <v>63000000</v>
      </c>
      <c r="F55" s="0" t="n">
        <v>6</v>
      </c>
      <c r="G55" s="4" t="s">
        <v>19</v>
      </c>
    </row>
    <row r="56" customFormat="false" ht="15" hidden="false" customHeight="false" outlineLevel="0" collapsed="false">
      <c r="A56" s="0" t="n">
        <v>7055</v>
      </c>
      <c r="B56" s="0" t="n">
        <v>5021</v>
      </c>
      <c r="C56" s="0" t="s">
        <v>21</v>
      </c>
      <c r="D56" s="3" t="n">
        <v>45037</v>
      </c>
      <c r="E56" s="0" t="n">
        <v>73000000</v>
      </c>
      <c r="F56" s="0" t="n">
        <v>77</v>
      </c>
      <c r="G56" s="4" t="s">
        <v>19</v>
      </c>
    </row>
    <row r="57" customFormat="false" ht="15" hidden="false" customHeight="false" outlineLevel="0" collapsed="false">
      <c r="A57" s="0" t="n">
        <v>7056</v>
      </c>
      <c r="B57" s="0" t="n">
        <v>5067</v>
      </c>
      <c r="C57" s="0" t="s">
        <v>18</v>
      </c>
      <c r="D57" s="3" t="n">
        <v>45046</v>
      </c>
      <c r="E57" s="0" t="n">
        <v>53000000</v>
      </c>
      <c r="F57" s="0" t="n">
        <v>7</v>
      </c>
      <c r="G57" s="4" t="s">
        <v>17</v>
      </c>
    </row>
    <row r="58" customFormat="false" ht="15" hidden="false" customHeight="false" outlineLevel="0" collapsed="false">
      <c r="A58" s="0" t="n">
        <v>7057</v>
      </c>
      <c r="B58" s="0" t="n">
        <v>5038</v>
      </c>
      <c r="C58" s="0" t="s">
        <v>18</v>
      </c>
      <c r="D58" s="3" t="n">
        <v>45051</v>
      </c>
      <c r="E58" s="0" t="n">
        <v>56000000</v>
      </c>
      <c r="F58" s="0" t="n">
        <v>1</v>
      </c>
      <c r="G58" s="4" t="s">
        <v>17</v>
      </c>
    </row>
    <row r="59" customFormat="false" ht="15" hidden="false" customHeight="false" outlineLevel="0" collapsed="false">
      <c r="A59" s="0" t="n">
        <v>7058</v>
      </c>
      <c r="B59" s="0" t="n">
        <v>5062</v>
      </c>
      <c r="C59" s="0" t="s">
        <v>20</v>
      </c>
      <c r="D59" s="3" t="n">
        <v>45065</v>
      </c>
      <c r="E59" s="0" t="n">
        <v>13000000</v>
      </c>
      <c r="F59" s="0" t="n">
        <v>5</v>
      </c>
      <c r="G59" s="4" t="s">
        <v>17</v>
      </c>
    </row>
    <row r="60" customFormat="false" ht="15" hidden="false" customHeight="false" outlineLevel="0" collapsed="false">
      <c r="A60" s="0" t="n">
        <v>7059</v>
      </c>
      <c r="B60" s="0" t="n">
        <v>5048</v>
      </c>
      <c r="C60" s="0" t="s">
        <v>18</v>
      </c>
      <c r="D60" s="3" t="n">
        <v>45075</v>
      </c>
      <c r="E60" s="0" t="n">
        <v>32000000</v>
      </c>
      <c r="F60" s="0" t="n">
        <v>9</v>
      </c>
      <c r="G60" s="4" t="s">
        <v>17</v>
      </c>
    </row>
    <row r="61" customFormat="false" ht="15" hidden="false" customHeight="false" outlineLevel="0" collapsed="false">
      <c r="A61" s="0" t="n">
        <v>7060</v>
      </c>
      <c r="B61" s="0" t="n">
        <v>5024</v>
      </c>
      <c r="C61" s="0" t="s">
        <v>18</v>
      </c>
      <c r="D61" s="3" t="n">
        <v>45084</v>
      </c>
      <c r="E61" s="0" t="n">
        <v>26000000</v>
      </c>
      <c r="F61" s="0" t="n">
        <v>3</v>
      </c>
      <c r="G61" s="4" t="s">
        <v>19</v>
      </c>
    </row>
    <row r="62" customFormat="false" ht="15" hidden="false" customHeight="false" outlineLevel="0" collapsed="false">
      <c r="A62" s="0" t="n">
        <v>7061</v>
      </c>
      <c r="B62" s="0" t="n">
        <v>5037</v>
      </c>
      <c r="C62" s="0" t="s">
        <v>18</v>
      </c>
      <c r="D62" s="3" t="n">
        <v>45087</v>
      </c>
      <c r="E62" s="0" t="n">
        <v>51000000</v>
      </c>
      <c r="F62" s="0" t="n">
        <v>6</v>
      </c>
      <c r="G62" s="4" t="s">
        <v>19</v>
      </c>
    </row>
    <row r="63" customFormat="false" ht="15" hidden="false" customHeight="false" outlineLevel="0" collapsed="false">
      <c r="A63" s="0" t="n">
        <v>7062</v>
      </c>
      <c r="B63" s="0" t="n">
        <v>5021</v>
      </c>
      <c r="C63" s="0" t="s">
        <v>16</v>
      </c>
      <c r="D63" s="3" t="n">
        <v>45109</v>
      </c>
      <c r="E63" s="0" t="n">
        <v>30000000</v>
      </c>
      <c r="F63" s="0" t="n">
        <v>7</v>
      </c>
      <c r="G63" s="4" t="s">
        <v>17</v>
      </c>
    </row>
    <row r="64" customFormat="false" ht="15" hidden="false" customHeight="false" outlineLevel="0" collapsed="false">
      <c r="A64" s="0" t="n">
        <v>7063</v>
      </c>
      <c r="B64" s="0" t="n">
        <v>5031</v>
      </c>
      <c r="C64" s="0" t="s">
        <v>16</v>
      </c>
      <c r="D64" s="3" t="n">
        <v>45115</v>
      </c>
      <c r="E64" s="0" t="n">
        <v>80000000</v>
      </c>
      <c r="F64" s="0" t="n">
        <v>5</v>
      </c>
      <c r="G64" s="4" t="s">
        <v>17</v>
      </c>
    </row>
    <row r="65" customFormat="false" ht="15" hidden="false" customHeight="false" outlineLevel="0" collapsed="false">
      <c r="A65" s="0" t="n">
        <v>7064</v>
      </c>
      <c r="B65" s="0" t="n">
        <v>5059</v>
      </c>
      <c r="C65" s="0" t="s">
        <v>18</v>
      </c>
      <c r="D65" s="3" t="n">
        <v>45139</v>
      </c>
      <c r="E65" s="0" t="n">
        <v>13000000</v>
      </c>
      <c r="F65" s="0" t="n">
        <v>155</v>
      </c>
      <c r="G65" s="4" t="s">
        <v>17</v>
      </c>
    </row>
    <row r="66" customFormat="false" ht="15" hidden="false" customHeight="false" outlineLevel="0" collapsed="false">
      <c r="A66" s="0" t="n">
        <v>7065</v>
      </c>
      <c r="B66" s="0" t="n">
        <v>5068</v>
      </c>
      <c r="C66" s="0" t="s">
        <v>20</v>
      </c>
      <c r="D66" s="3" t="n">
        <v>45141</v>
      </c>
      <c r="E66" s="0" t="n">
        <v>30000000</v>
      </c>
      <c r="F66" s="0" t="n">
        <v>3</v>
      </c>
      <c r="G66" s="4" t="s">
        <v>17</v>
      </c>
    </row>
    <row r="67" customFormat="false" ht="15" hidden="false" customHeight="false" outlineLevel="0" collapsed="false">
      <c r="A67" s="0" t="n">
        <v>7066</v>
      </c>
      <c r="B67" s="0" t="n">
        <v>5050</v>
      </c>
      <c r="C67" s="0" t="s">
        <v>20</v>
      </c>
      <c r="D67" s="3" t="n">
        <v>45144</v>
      </c>
      <c r="E67" s="0" t="n">
        <v>53000000</v>
      </c>
      <c r="F67" s="0" t="n">
        <v>7</v>
      </c>
      <c r="G67" s="4" t="s">
        <v>19</v>
      </c>
    </row>
    <row r="68" customFormat="false" ht="15" hidden="false" customHeight="false" outlineLevel="0" collapsed="false">
      <c r="A68" s="0" t="n">
        <v>7067</v>
      </c>
      <c r="B68" s="0" t="n">
        <v>5051</v>
      </c>
      <c r="C68" s="0" t="s">
        <v>21</v>
      </c>
      <c r="D68" s="3" t="n">
        <v>45152</v>
      </c>
      <c r="E68" s="0" t="n">
        <v>41000000</v>
      </c>
      <c r="F68" s="0" t="n">
        <v>7</v>
      </c>
      <c r="G68" s="4" t="s">
        <v>17</v>
      </c>
    </row>
    <row r="69" customFormat="false" ht="15" hidden="false" customHeight="false" outlineLevel="0" collapsed="false">
      <c r="A69" s="0" t="n">
        <v>7068</v>
      </c>
      <c r="B69" s="0" t="n">
        <v>5053</v>
      </c>
      <c r="C69" s="0" t="s">
        <v>20</v>
      </c>
      <c r="D69" s="3" t="n">
        <v>45200</v>
      </c>
      <c r="E69" s="0" t="n">
        <v>38000000</v>
      </c>
      <c r="F69" s="0" t="n">
        <v>2</v>
      </c>
      <c r="G69" s="4" t="s">
        <v>17</v>
      </c>
    </row>
    <row r="70" customFormat="false" ht="15" hidden="false" customHeight="false" outlineLevel="0" collapsed="false">
      <c r="A70" s="0" t="n">
        <v>7069</v>
      </c>
      <c r="B70" s="0" t="n">
        <v>5058</v>
      </c>
      <c r="C70" s="0" t="s">
        <v>20</v>
      </c>
      <c r="D70" s="3" t="n">
        <v>45209</v>
      </c>
      <c r="E70" s="0" t="n">
        <v>11000000</v>
      </c>
      <c r="F70" s="0" t="n">
        <v>5</v>
      </c>
      <c r="G70" s="4" t="s">
        <v>17</v>
      </c>
    </row>
    <row r="71" customFormat="false" ht="15" hidden="false" customHeight="false" outlineLevel="0" collapsed="false">
      <c r="A71" s="0" t="n">
        <v>7070</v>
      </c>
      <c r="B71" s="0" t="n">
        <v>5058</v>
      </c>
      <c r="C71" s="0" t="s">
        <v>18</v>
      </c>
      <c r="D71" s="3" t="n">
        <v>45210</v>
      </c>
      <c r="E71" s="0" t="n">
        <v>45000000</v>
      </c>
      <c r="F71" s="0" t="n">
        <v>4</v>
      </c>
      <c r="G71" s="4" t="s">
        <v>19</v>
      </c>
    </row>
    <row r="72" customFormat="false" ht="15" hidden="false" customHeight="false" outlineLevel="0" collapsed="false">
      <c r="A72" s="0" t="n">
        <v>7071</v>
      </c>
      <c r="B72" s="0" t="n">
        <v>5039</v>
      </c>
      <c r="C72" s="0" t="s">
        <v>21</v>
      </c>
      <c r="D72" s="3" t="n">
        <v>45211</v>
      </c>
      <c r="E72" s="0" t="n">
        <v>16000000</v>
      </c>
      <c r="F72" s="0" t="n">
        <v>17</v>
      </c>
      <c r="G72" s="4" t="s">
        <v>17</v>
      </c>
    </row>
    <row r="73" customFormat="false" ht="15" hidden="false" customHeight="false" outlineLevel="0" collapsed="false">
      <c r="A73" s="0" t="n">
        <v>7072</v>
      </c>
      <c r="B73" s="0" t="n">
        <v>5063</v>
      </c>
      <c r="C73" s="0" t="s">
        <v>16</v>
      </c>
      <c r="D73" s="3" t="n">
        <v>45211</v>
      </c>
      <c r="E73" s="0" t="n">
        <v>39000000</v>
      </c>
      <c r="F73" s="0" t="n">
        <v>4</v>
      </c>
      <c r="G73" s="4" t="s">
        <v>19</v>
      </c>
    </row>
    <row r="74" customFormat="false" ht="15" hidden="false" customHeight="false" outlineLevel="0" collapsed="false">
      <c r="A74" s="0" t="n">
        <v>7073</v>
      </c>
      <c r="B74" s="0" t="n">
        <v>5022</v>
      </c>
      <c r="C74" s="0" t="s">
        <v>16</v>
      </c>
      <c r="D74" s="3" t="n">
        <v>45221</v>
      </c>
      <c r="E74" s="0" t="n">
        <v>66000000</v>
      </c>
      <c r="F74" s="0" t="n">
        <v>2</v>
      </c>
      <c r="G74" s="4" t="s">
        <v>19</v>
      </c>
    </row>
    <row r="75" customFormat="false" ht="15" hidden="false" customHeight="false" outlineLevel="0" collapsed="false">
      <c r="A75" s="0" t="n">
        <v>7074</v>
      </c>
      <c r="B75" s="0" t="n">
        <v>5070</v>
      </c>
      <c r="C75" s="0" t="s">
        <v>16</v>
      </c>
      <c r="D75" s="3" t="n">
        <v>45222</v>
      </c>
      <c r="E75" s="0" t="n">
        <v>30000000</v>
      </c>
      <c r="F75" s="0" t="n">
        <v>244</v>
      </c>
      <c r="G75" s="4" t="s">
        <v>19</v>
      </c>
    </row>
    <row r="76" customFormat="false" ht="15" hidden="false" customHeight="false" outlineLevel="0" collapsed="false">
      <c r="A76" s="0" t="n">
        <v>7075</v>
      </c>
      <c r="B76" s="0" t="n">
        <v>5077</v>
      </c>
      <c r="C76" s="0" t="s">
        <v>18</v>
      </c>
      <c r="D76" s="3" t="n">
        <v>45225</v>
      </c>
      <c r="E76" s="0" t="n">
        <v>75000000</v>
      </c>
      <c r="F76" s="0" t="n">
        <v>9</v>
      </c>
      <c r="G76" s="4" t="s">
        <v>17</v>
      </c>
    </row>
    <row r="77" customFormat="false" ht="15" hidden="false" customHeight="false" outlineLevel="0" collapsed="false">
      <c r="A77" s="0" t="n">
        <v>7076</v>
      </c>
      <c r="B77" s="0" t="n">
        <v>5064</v>
      </c>
      <c r="C77" s="0" t="s">
        <v>20</v>
      </c>
      <c r="D77" s="3" t="n">
        <v>45229</v>
      </c>
      <c r="E77" s="0" t="n">
        <v>23000000</v>
      </c>
      <c r="F77" s="0" t="n">
        <v>7</v>
      </c>
      <c r="G77" s="4" t="s">
        <v>17</v>
      </c>
    </row>
    <row r="78" customFormat="false" ht="15" hidden="false" customHeight="false" outlineLevel="0" collapsed="false">
      <c r="A78" s="0" t="n">
        <v>7077</v>
      </c>
      <c r="B78" s="0" t="n">
        <v>5004</v>
      </c>
      <c r="C78" s="0" t="s">
        <v>21</v>
      </c>
      <c r="D78" s="3" t="n">
        <v>45245</v>
      </c>
      <c r="E78" s="0" t="n">
        <v>33000000</v>
      </c>
      <c r="F78" s="0" t="n">
        <v>91</v>
      </c>
      <c r="G78" s="4" t="s">
        <v>17</v>
      </c>
    </row>
    <row r="79" customFormat="false" ht="15" hidden="false" customHeight="false" outlineLevel="0" collapsed="false">
      <c r="A79" s="0" t="n">
        <v>7078</v>
      </c>
      <c r="B79" s="0" t="n">
        <v>5048</v>
      </c>
      <c r="C79" s="0" t="s">
        <v>18</v>
      </c>
      <c r="D79" s="3" t="n">
        <v>45248</v>
      </c>
      <c r="E79" s="0" t="n">
        <v>35000000</v>
      </c>
      <c r="F79" s="0" t="n">
        <v>1</v>
      </c>
      <c r="G79" s="4" t="s">
        <v>17</v>
      </c>
    </row>
    <row r="80" customFormat="false" ht="15" hidden="false" customHeight="false" outlineLevel="0" collapsed="false">
      <c r="A80" s="0" t="n">
        <v>7079</v>
      </c>
      <c r="B80" s="0" t="n">
        <v>5010</v>
      </c>
      <c r="C80" s="0" t="s">
        <v>18</v>
      </c>
      <c r="D80" s="3" t="n">
        <v>45261</v>
      </c>
      <c r="E80" s="0" t="n">
        <v>21000000</v>
      </c>
      <c r="F80" s="0" t="n">
        <v>6</v>
      </c>
      <c r="G80" s="4" t="s">
        <v>17</v>
      </c>
    </row>
    <row r="81" customFormat="false" ht="15" hidden="false" customHeight="false" outlineLevel="0" collapsed="false">
      <c r="A81" s="0" t="n">
        <v>7080</v>
      </c>
      <c r="B81" s="0" t="n">
        <v>5018</v>
      </c>
      <c r="C81" s="0" t="s">
        <v>18</v>
      </c>
      <c r="D81" s="3" t="n">
        <v>45261</v>
      </c>
      <c r="E81" s="0" t="n">
        <v>20000000</v>
      </c>
      <c r="F81" s="0" t="n">
        <v>6</v>
      </c>
      <c r="G81" s="4" t="s">
        <v>17</v>
      </c>
    </row>
    <row r="82" customFormat="false" ht="15" hidden="false" customHeight="false" outlineLevel="0" collapsed="false">
      <c r="A82" s="0" t="n">
        <v>7081</v>
      </c>
      <c r="B82" s="0" t="n">
        <v>5071</v>
      </c>
      <c r="C82" s="0" t="s">
        <v>21</v>
      </c>
      <c r="D82" s="3" t="n">
        <v>45263</v>
      </c>
      <c r="E82" s="0" t="n">
        <v>80000000</v>
      </c>
      <c r="F82" s="0" t="n">
        <v>3</v>
      </c>
      <c r="G82" s="4" t="s">
        <v>17</v>
      </c>
    </row>
    <row r="83" customFormat="false" ht="15" hidden="false" customHeight="false" outlineLevel="0" collapsed="false">
      <c r="A83" s="0" t="n">
        <v>7082</v>
      </c>
      <c r="B83" s="0" t="n">
        <v>5019</v>
      </c>
      <c r="C83" s="0" t="s">
        <v>20</v>
      </c>
      <c r="D83" s="3" t="n">
        <v>45279</v>
      </c>
      <c r="E83" s="0" t="n">
        <v>76000000</v>
      </c>
      <c r="F83" s="0" t="n">
        <v>8</v>
      </c>
      <c r="G83" s="4" t="s">
        <v>17</v>
      </c>
    </row>
    <row r="84" customFormat="false" ht="15" hidden="false" customHeight="false" outlineLevel="0" collapsed="false">
      <c r="A84" s="0" t="n">
        <v>7083</v>
      </c>
      <c r="B84" s="0" t="n">
        <v>5001</v>
      </c>
      <c r="C84" s="0" t="s">
        <v>20</v>
      </c>
      <c r="D84" s="3" t="n">
        <v>45284</v>
      </c>
      <c r="E84" s="0" t="n">
        <v>50000000</v>
      </c>
      <c r="F84" s="0" t="n">
        <v>262</v>
      </c>
      <c r="G84" s="4" t="s">
        <v>19</v>
      </c>
    </row>
    <row r="85" customFormat="false" ht="15" hidden="false" customHeight="false" outlineLevel="0" collapsed="false">
      <c r="A85" s="0" t="n">
        <v>7084</v>
      </c>
      <c r="B85" s="0" t="n">
        <v>5030</v>
      </c>
      <c r="C85" s="0" t="s">
        <v>20</v>
      </c>
      <c r="D85" s="3" t="n">
        <v>45297</v>
      </c>
      <c r="E85" s="0" t="n">
        <v>17000000</v>
      </c>
      <c r="F85" s="0" t="n">
        <v>72</v>
      </c>
      <c r="G85" s="4" t="s">
        <v>17</v>
      </c>
    </row>
    <row r="86" customFormat="false" ht="15" hidden="false" customHeight="false" outlineLevel="0" collapsed="false">
      <c r="A86" s="0" t="n">
        <v>7085</v>
      </c>
      <c r="B86" s="0" t="n">
        <v>5051</v>
      </c>
      <c r="C86" s="0" t="s">
        <v>21</v>
      </c>
      <c r="D86" s="3" t="n">
        <v>45297</v>
      </c>
      <c r="E86" s="0" t="n">
        <v>43000000</v>
      </c>
      <c r="F86" s="0" t="n">
        <v>5</v>
      </c>
      <c r="G86" s="4" t="s">
        <v>19</v>
      </c>
    </row>
    <row r="87" customFormat="false" ht="15" hidden="false" customHeight="false" outlineLevel="0" collapsed="false">
      <c r="A87" s="0" t="n">
        <v>7086</v>
      </c>
      <c r="B87" s="0" t="n">
        <v>5002</v>
      </c>
      <c r="C87" s="0" t="s">
        <v>16</v>
      </c>
      <c r="D87" s="3" t="n">
        <v>45307</v>
      </c>
      <c r="E87" s="0" t="n">
        <v>28000000</v>
      </c>
      <c r="F87" s="0" t="n">
        <v>7</v>
      </c>
      <c r="G87" s="4" t="s">
        <v>17</v>
      </c>
    </row>
    <row r="88" customFormat="false" ht="15" hidden="false" customHeight="false" outlineLevel="0" collapsed="false">
      <c r="A88" s="0" t="n">
        <v>7087</v>
      </c>
      <c r="B88" s="0" t="n">
        <v>5067</v>
      </c>
      <c r="C88" s="0" t="s">
        <v>18</v>
      </c>
      <c r="D88" s="3" t="n">
        <v>45312</v>
      </c>
      <c r="E88" s="0" t="n">
        <v>70000000</v>
      </c>
      <c r="F88" s="0" t="n">
        <v>0</v>
      </c>
      <c r="G88" s="4" t="s">
        <v>17</v>
      </c>
    </row>
    <row r="89" customFormat="false" ht="15" hidden="false" customHeight="false" outlineLevel="0" collapsed="false">
      <c r="A89" s="0" t="n">
        <v>7088</v>
      </c>
      <c r="B89" s="0" t="n">
        <v>5048</v>
      </c>
      <c r="C89" s="0" t="s">
        <v>20</v>
      </c>
      <c r="D89" s="3" t="n">
        <v>45315</v>
      </c>
      <c r="E89" s="0" t="n">
        <v>29000000</v>
      </c>
      <c r="F89" s="0" t="n">
        <v>6</v>
      </c>
      <c r="G89" s="4" t="s">
        <v>19</v>
      </c>
    </row>
    <row r="90" customFormat="false" ht="15" hidden="false" customHeight="false" outlineLevel="0" collapsed="false">
      <c r="A90" s="0" t="n">
        <v>7089</v>
      </c>
      <c r="B90" s="0" t="n">
        <v>5054</v>
      </c>
      <c r="C90" s="0" t="s">
        <v>20</v>
      </c>
      <c r="D90" s="3" t="n">
        <v>45321</v>
      </c>
      <c r="E90" s="0" t="n">
        <v>71000000</v>
      </c>
      <c r="F90" s="0" t="n">
        <v>4</v>
      </c>
      <c r="G90" s="4" t="s">
        <v>19</v>
      </c>
    </row>
    <row r="91" customFormat="false" ht="15" hidden="false" customHeight="false" outlineLevel="0" collapsed="false">
      <c r="A91" s="0" t="n">
        <v>7090</v>
      </c>
      <c r="B91" s="0" t="n">
        <v>5019</v>
      </c>
      <c r="C91" s="0" t="s">
        <v>18</v>
      </c>
      <c r="D91" s="3" t="n">
        <v>45330</v>
      </c>
      <c r="E91" s="0" t="n">
        <v>69000000</v>
      </c>
      <c r="F91" s="0" t="n">
        <v>3</v>
      </c>
      <c r="G91" s="4" t="s">
        <v>17</v>
      </c>
    </row>
    <row r="92" customFormat="false" ht="15" hidden="false" customHeight="false" outlineLevel="0" collapsed="false">
      <c r="A92" s="0" t="n">
        <v>7091</v>
      </c>
      <c r="B92" s="0" t="n">
        <v>5047</v>
      </c>
      <c r="C92" s="0" t="s">
        <v>20</v>
      </c>
      <c r="D92" s="3" t="n">
        <v>45339</v>
      </c>
      <c r="E92" s="0" t="n">
        <v>31000000</v>
      </c>
      <c r="F92" s="0" t="n">
        <v>4</v>
      </c>
      <c r="G92" s="4" t="s">
        <v>17</v>
      </c>
    </row>
    <row r="93" customFormat="false" ht="15" hidden="false" customHeight="false" outlineLevel="0" collapsed="false">
      <c r="A93" s="0" t="n">
        <v>7092</v>
      </c>
      <c r="B93" s="0" t="n">
        <v>5061</v>
      </c>
      <c r="C93" s="0" t="s">
        <v>16</v>
      </c>
      <c r="D93" s="3" t="n">
        <v>45345</v>
      </c>
      <c r="E93" s="0" t="n">
        <v>18000000</v>
      </c>
      <c r="F93" s="0" t="n">
        <v>0</v>
      </c>
      <c r="G93" s="4" t="s">
        <v>17</v>
      </c>
    </row>
    <row r="94" customFormat="false" ht="15" hidden="false" customHeight="false" outlineLevel="0" collapsed="false">
      <c r="A94" s="0" t="n">
        <v>7093</v>
      </c>
      <c r="B94" s="0" t="n">
        <v>5069</v>
      </c>
      <c r="C94" s="0" t="s">
        <v>21</v>
      </c>
      <c r="D94" s="3" t="n">
        <v>45345</v>
      </c>
      <c r="E94" s="0" t="n">
        <v>5000000</v>
      </c>
      <c r="F94" s="0" t="n">
        <v>8</v>
      </c>
      <c r="G94" s="4" t="s">
        <v>17</v>
      </c>
    </row>
    <row r="95" customFormat="false" ht="15" hidden="false" customHeight="false" outlineLevel="0" collapsed="false">
      <c r="A95" s="0" t="n">
        <v>7094</v>
      </c>
      <c r="B95" s="0" t="n">
        <v>5075</v>
      </c>
      <c r="C95" s="0" t="s">
        <v>16</v>
      </c>
      <c r="D95" s="3" t="n">
        <v>45358</v>
      </c>
      <c r="E95" s="0" t="n">
        <v>69000000</v>
      </c>
      <c r="F95" s="0" t="n">
        <v>8</v>
      </c>
      <c r="G95" s="4" t="s">
        <v>19</v>
      </c>
    </row>
    <row r="96" customFormat="false" ht="15" hidden="false" customHeight="false" outlineLevel="0" collapsed="false">
      <c r="A96" s="0" t="n">
        <v>7095</v>
      </c>
      <c r="B96" s="0" t="n">
        <v>5072</v>
      </c>
      <c r="C96" s="0" t="s">
        <v>21</v>
      </c>
      <c r="D96" s="3" t="n">
        <v>45359</v>
      </c>
      <c r="E96" s="0" t="n">
        <v>33000000</v>
      </c>
      <c r="F96" s="0" t="n">
        <v>1</v>
      </c>
      <c r="G96" s="4" t="s">
        <v>17</v>
      </c>
    </row>
    <row r="97" customFormat="false" ht="15" hidden="false" customHeight="false" outlineLevel="0" collapsed="false">
      <c r="A97" s="0" t="n">
        <v>7096</v>
      </c>
      <c r="B97" s="0" t="n">
        <v>5037</v>
      </c>
      <c r="C97" s="0" t="s">
        <v>20</v>
      </c>
      <c r="D97" s="3" t="n">
        <v>45384</v>
      </c>
      <c r="E97" s="0" t="n">
        <v>61000000</v>
      </c>
      <c r="F97" s="0" t="n">
        <v>7</v>
      </c>
      <c r="G97" s="4" t="s">
        <v>17</v>
      </c>
    </row>
    <row r="98" customFormat="false" ht="15" hidden="false" customHeight="false" outlineLevel="0" collapsed="false">
      <c r="A98" s="0" t="n">
        <v>7097</v>
      </c>
      <c r="B98" s="0" t="n">
        <v>5075</v>
      </c>
      <c r="C98" s="0" t="s">
        <v>21</v>
      </c>
      <c r="D98" s="3" t="n">
        <v>45393</v>
      </c>
      <c r="E98" s="0" t="n">
        <v>66000000</v>
      </c>
      <c r="F98" s="0" t="n">
        <v>6</v>
      </c>
      <c r="G98" s="4" t="s">
        <v>19</v>
      </c>
    </row>
    <row r="99" customFormat="false" ht="15" hidden="false" customHeight="false" outlineLevel="0" collapsed="false">
      <c r="A99" s="0" t="n">
        <v>7098</v>
      </c>
      <c r="B99" s="0" t="n">
        <v>5038</v>
      </c>
      <c r="C99" s="0" t="s">
        <v>21</v>
      </c>
      <c r="D99" s="3" t="n">
        <v>45397</v>
      </c>
      <c r="E99" s="0" t="n">
        <v>9000000</v>
      </c>
      <c r="F99" s="0" t="n">
        <v>2</v>
      </c>
      <c r="G99" s="4" t="s">
        <v>19</v>
      </c>
    </row>
    <row r="100" customFormat="false" ht="15" hidden="false" customHeight="false" outlineLevel="0" collapsed="false">
      <c r="A100" s="0" t="n">
        <v>7099</v>
      </c>
      <c r="B100" s="0" t="n">
        <v>5036</v>
      </c>
      <c r="C100" s="0" t="s">
        <v>18</v>
      </c>
      <c r="D100" s="3" t="n">
        <v>45398</v>
      </c>
      <c r="E100" s="0" t="n">
        <v>14000000</v>
      </c>
      <c r="F100" s="0" t="n">
        <v>37</v>
      </c>
      <c r="G100" s="4" t="s">
        <v>19</v>
      </c>
    </row>
    <row r="101" customFormat="false" ht="15" hidden="false" customHeight="false" outlineLevel="0" collapsed="false">
      <c r="A101" s="0" t="n">
        <v>7100</v>
      </c>
      <c r="B101" s="0" t="n">
        <v>5041</v>
      </c>
      <c r="C101" s="0" t="s">
        <v>16</v>
      </c>
      <c r="D101" s="3" t="n">
        <v>45407</v>
      </c>
      <c r="E101" s="0" t="n">
        <v>19000000</v>
      </c>
      <c r="F101" s="0" t="n">
        <v>6</v>
      </c>
      <c r="G101" s="4" t="s">
        <v>17</v>
      </c>
    </row>
    <row r="102" customFormat="false" ht="15" hidden="false" customHeight="false" outlineLevel="0" collapsed="false">
      <c r="A102" s="0" t="n">
        <v>7101</v>
      </c>
      <c r="B102" s="0" t="n">
        <v>5022</v>
      </c>
      <c r="C102" s="0" t="s">
        <v>16</v>
      </c>
      <c r="D102" s="3" t="n">
        <v>45418</v>
      </c>
      <c r="E102" s="0" t="n">
        <v>66000000</v>
      </c>
      <c r="F102" s="0" t="n">
        <v>9</v>
      </c>
      <c r="G102" s="4" t="s">
        <v>19</v>
      </c>
    </row>
    <row r="103" customFormat="false" ht="15" hidden="false" customHeight="false" outlineLevel="0" collapsed="false">
      <c r="A103" s="0" t="n">
        <v>7102</v>
      </c>
      <c r="B103" s="0" t="n">
        <v>5053</v>
      </c>
      <c r="C103" s="0" t="s">
        <v>20</v>
      </c>
      <c r="D103" s="3" t="n">
        <v>45418</v>
      </c>
      <c r="E103" s="0" t="n">
        <v>38000000</v>
      </c>
      <c r="F103" s="0" t="n">
        <v>7</v>
      </c>
      <c r="G103" s="4" t="s">
        <v>17</v>
      </c>
    </row>
    <row r="104" customFormat="false" ht="15" hidden="false" customHeight="false" outlineLevel="0" collapsed="false">
      <c r="A104" s="0" t="n">
        <v>7103</v>
      </c>
      <c r="B104" s="0" t="n">
        <v>5015</v>
      </c>
      <c r="C104" s="0" t="s">
        <v>21</v>
      </c>
      <c r="D104" s="3" t="n">
        <v>45423</v>
      </c>
      <c r="E104" s="0" t="n">
        <v>58000000</v>
      </c>
      <c r="F104" s="0" t="n">
        <v>183</v>
      </c>
      <c r="G104" s="4" t="s">
        <v>17</v>
      </c>
    </row>
    <row r="105" customFormat="false" ht="15" hidden="false" customHeight="false" outlineLevel="0" collapsed="false">
      <c r="A105" s="0" t="n">
        <v>7104</v>
      </c>
      <c r="B105" s="0" t="n">
        <v>5015</v>
      </c>
      <c r="C105" s="0" t="s">
        <v>18</v>
      </c>
      <c r="D105" s="3" t="n">
        <v>45432</v>
      </c>
      <c r="E105" s="0" t="n">
        <v>33000000</v>
      </c>
      <c r="F105" s="0" t="n">
        <v>7</v>
      </c>
      <c r="G105" s="4" t="s">
        <v>17</v>
      </c>
    </row>
    <row r="106" customFormat="false" ht="15" hidden="false" customHeight="false" outlineLevel="0" collapsed="false">
      <c r="A106" s="0" t="n">
        <v>7105</v>
      </c>
      <c r="B106" s="0" t="n">
        <v>5053</v>
      </c>
      <c r="C106" s="0" t="s">
        <v>18</v>
      </c>
      <c r="D106" s="3" t="n">
        <v>45441</v>
      </c>
      <c r="E106" s="0" t="n">
        <v>9000000</v>
      </c>
      <c r="F106" s="0" t="n">
        <v>109</v>
      </c>
      <c r="G106" s="4" t="s">
        <v>19</v>
      </c>
    </row>
    <row r="107" customFormat="false" ht="15" hidden="false" customHeight="false" outlineLevel="0" collapsed="false">
      <c r="A107" s="0" t="n">
        <v>7106</v>
      </c>
      <c r="B107" s="0" t="n">
        <v>5079</v>
      </c>
      <c r="C107" s="0" t="s">
        <v>21</v>
      </c>
      <c r="D107" s="3" t="n">
        <v>45450</v>
      </c>
      <c r="E107" s="0" t="n">
        <v>23000000</v>
      </c>
      <c r="F107" s="0" t="n">
        <v>7</v>
      </c>
      <c r="G107" s="4" t="s">
        <v>17</v>
      </c>
    </row>
    <row r="108" customFormat="false" ht="15" hidden="false" customHeight="false" outlineLevel="0" collapsed="false">
      <c r="A108" s="0" t="n">
        <v>7107</v>
      </c>
      <c r="B108" s="0" t="n">
        <v>5068</v>
      </c>
      <c r="C108" s="0" t="s">
        <v>16</v>
      </c>
      <c r="D108" s="3" t="n">
        <v>45465</v>
      </c>
      <c r="E108" s="0" t="n">
        <v>48000000</v>
      </c>
      <c r="F108" s="0" t="n">
        <v>7</v>
      </c>
      <c r="G108" s="4" t="s">
        <v>19</v>
      </c>
    </row>
    <row r="109" customFormat="false" ht="15" hidden="false" customHeight="false" outlineLevel="0" collapsed="false">
      <c r="A109" s="0" t="n">
        <v>7108</v>
      </c>
      <c r="B109" s="0" t="n">
        <v>5050</v>
      </c>
      <c r="C109" s="0" t="s">
        <v>20</v>
      </c>
      <c r="D109" s="3" t="n">
        <v>45470</v>
      </c>
      <c r="E109" s="0" t="n">
        <v>14000000</v>
      </c>
      <c r="F109" s="0" t="n">
        <v>1</v>
      </c>
      <c r="G109" s="4" t="s">
        <v>17</v>
      </c>
    </row>
    <row r="110" customFormat="false" ht="15" hidden="false" customHeight="false" outlineLevel="0" collapsed="false">
      <c r="A110" s="0" t="n">
        <v>7109</v>
      </c>
      <c r="B110" s="0" t="n">
        <v>5071</v>
      </c>
      <c r="C110" s="0" t="s">
        <v>16</v>
      </c>
      <c r="D110" s="3" t="n">
        <v>45477</v>
      </c>
      <c r="E110" s="0" t="n">
        <v>12000000</v>
      </c>
      <c r="F110" s="0" t="n">
        <v>7</v>
      </c>
      <c r="G110" s="4" t="s">
        <v>19</v>
      </c>
    </row>
    <row r="111" customFormat="false" ht="15" hidden="false" customHeight="false" outlineLevel="0" collapsed="false">
      <c r="A111" s="0" t="n">
        <v>7110</v>
      </c>
      <c r="B111" s="0" t="n">
        <v>5044</v>
      </c>
      <c r="C111" s="0" t="s">
        <v>18</v>
      </c>
      <c r="D111" s="3" t="n">
        <v>45484</v>
      </c>
      <c r="E111" s="0" t="n">
        <v>15000000</v>
      </c>
      <c r="F111" s="0" t="n">
        <v>11</v>
      </c>
      <c r="G111" s="4" t="s">
        <v>19</v>
      </c>
    </row>
    <row r="112" customFormat="false" ht="15" hidden="false" customHeight="false" outlineLevel="0" collapsed="false">
      <c r="A112" s="0" t="n">
        <v>7111</v>
      </c>
      <c r="B112" s="0" t="n">
        <v>5019</v>
      </c>
      <c r="C112" s="0" t="s">
        <v>16</v>
      </c>
      <c r="D112" s="3" t="n">
        <v>45492</v>
      </c>
      <c r="E112" s="0" t="n">
        <v>55000000</v>
      </c>
      <c r="F112" s="0" t="n">
        <v>1</v>
      </c>
      <c r="G112" s="4" t="s">
        <v>17</v>
      </c>
    </row>
    <row r="113" customFormat="false" ht="15" hidden="false" customHeight="false" outlineLevel="0" collapsed="false">
      <c r="A113" s="0" t="n">
        <v>7112</v>
      </c>
      <c r="B113" s="0" t="n">
        <v>5042</v>
      </c>
      <c r="C113" s="0" t="s">
        <v>18</v>
      </c>
      <c r="D113" s="3" t="n">
        <v>45518</v>
      </c>
      <c r="E113" s="0" t="n">
        <v>16000000</v>
      </c>
      <c r="F113" s="0" t="n">
        <v>2</v>
      </c>
      <c r="G113" s="4" t="s">
        <v>19</v>
      </c>
    </row>
    <row r="114" customFormat="false" ht="15" hidden="false" customHeight="false" outlineLevel="0" collapsed="false">
      <c r="A114" s="0" t="n">
        <v>7113</v>
      </c>
      <c r="B114" s="0" t="n">
        <v>5054</v>
      </c>
      <c r="C114" s="0" t="s">
        <v>20</v>
      </c>
      <c r="D114" s="3" t="n">
        <v>45519</v>
      </c>
      <c r="E114" s="0" t="n">
        <v>71000000</v>
      </c>
      <c r="F114" s="0" t="n">
        <v>2</v>
      </c>
      <c r="G114" s="4" t="s">
        <v>19</v>
      </c>
    </row>
    <row r="115" customFormat="false" ht="15" hidden="false" customHeight="false" outlineLevel="0" collapsed="false">
      <c r="A115" s="0" t="n">
        <v>7114</v>
      </c>
      <c r="B115" s="0" t="n">
        <v>5054</v>
      </c>
      <c r="C115" s="0" t="s">
        <v>18</v>
      </c>
      <c r="D115" s="3" t="n">
        <v>45556</v>
      </c>
      <c r="E115" s="0" t="n">
        <v>12000000</v>
      </c>
      <c r="F115" s="0" t="n">
        <v>8</v>
      </c>
      <c r="G115" s="4" t="s">
        <v>19</v>
      </c>
    </row>
    <row r="116" customFormat="false" ht="15" hidden="false" customHeight="false" outlineLevel="0" collapsed="false">
      <c r="A116" s="0" t="n">
        <v>7115</v>
      </c>
      <c r="B116" s="0" t="n">
        <v>5025</v>
      </c>
      <c r="C116" s="0" t="s">
        <v>20</v>
      </c>
      <c r="D116" s="3" t="n">
        <v>45557</v>
      </c>
      <c r="E116" s="0" t="n">
        <v>14000000</v>
      </c>
      <c r="F116" s="0" t="n">
        <v>9</v>
      </c>
      <c r="G116" s="4" t="s">
        <v>17</v>
      </c>
    </row>
    <row r="117" customFormat="false" ht="15" hidden="false" customHeight="false" outlineLevel="0" collapsed="false">
      <c r="A117" s="0" t="n">
        <v>7116</v>
      </c>
      <c r="B117" s="0" t="n">
        <v>5034</v>
      </c>
      <c r="C117" s="0" t="s">
        <v>18</v>
      </c>
      <c r="D117" s="3" t="n">
        <v>45583</v>
      </c>
      <c r="E117" s="0" t="n">
        <v>73000000</v>
      </c>
      <c r="F117" s="0" t="n">
        <v>2</v>
      </c>
      <c r="G117" s="4" t="s">
        <v>17</v>
      </c>
    </row>
    <row r="118" customFormat="false" ht="15" hidden="false" customHeight="false" outlineLevel="0" collapsed="false">
      <c r="A118" s="0" t="n">
        <v>7117</v>
      </c>
      <c r="B118" s="0" t="n">
        <v>5010</v>
      </c>
      <c r="C118" s="0" t="s">
        <v>16</v>
      </c>
      <c r="D118" s="3" t="n">
        <v>45592</v>
      </c>
      <c r="E118" s="0" t="n">
        <v>43000000</v>
      </c>
      <c r="F118" s="0" t="n">
        <v>9</v>
      </c>
      <c r="G118" s="4" t="s">
        <v>17</v>
      </c>
    </row>
    <row r="119" customFormat="false" ht="15" hidden="false" customHeight="false" outlineLevel="0" collapsed="false">
      <c r="A119" s="0" t="n">
        <v>7118</v>
      </c>
      <c r="B119" s="0" t="n">
        <v>5010</v>
      </c>
      <c r="C119" s="0" t="s">
        <v>18</v>
      </c>
      <c r="D119" s="3" t="n">
        <v>45637</v>
      </c>
      <c r="E119" s="0" t="n">
        <v>73000000</v>
      </c>
      <c r="F119" s="0" t="n">
        <v>0</v>
      </c>
      <c r="G119" s="4" t="s">
        <v>17</v>
      </c>
    </row>
    <row r="120" customFormat="false" ht="15" hidden="false" customHeight="false" outlineLevel="0" collapsed="false">
      <c r="A120" s="0" t="n">
        <v>7119</v>
      </c>
      <c r="B120" s="0" t="n">
        <v>5026</v>
      </c>
      <c r="C120" s="0" t="s">
        <v>20</v>
      </c>
      <c r="D120" s="3" t="n">
        <v>45642</v>
      </c>
      <c r="E120" s="0" t="n">
        <v>37000000</v>
      </c>
      <c r="F120" s="0" t="n">
        <v>6</v>
      </c>
      <c r="G120" s="4" t="s">
        <v>17</v>
      </c>
    </row>
    <row r="121" customFormat="false" ht="15" hidden="false" customHeight="false" outlineLevel="0" collapsed="false">
      <c r="A121" s="0" t="n">
        <v>7120</v>
      </c>
      <c r="B121" s="0" t="n">
        <v>5037</v>
      </c>
      <c r="C121" s="0" t="s">
        <v>20</v>
      </c>
      <c r="D121" s="3" t="n">
        <v>45646</v>
      </c>
      <c r="E121" s="0" t="n">
        <v>51000000</v>
      </c>
      <c r="F121" s="0" t="n">
        <v>0</v>
      </c>
      <c r="G121" s="4" t="s">
        <v>17</v>
      </c>
    </row>
    <row r="122" customFormat="false" ht="15" hidden="false" customHeight="false" outlineLevel="0" collapsed="false">
      <c r="A122" s="0" t="n">
        <v>7121</v>
      </c>
      <c r="B122" s="0" t="n">
        <v>5068</v>
      </c>
      <c r="C122" s="0" t="s">
        <v>21</v>
      </c>
      <c r="D122" s="3" t="n">
        <v>45656</v>
      </c>
      <c r="E122" s="0" t="n">
        <v>61000000</v>
      </c>
      <c r="F122" s="0" t="n">
        <v>2</v>
      </c>
      <c r="G122" s="4" t="s">
        <v>19</v>
      </c>
    </row>
    <row r="123" customFormat="false" ht="15" hidden="false" customHeight="false" outlineLevel="0" collapsed="false">
      <c r="A123" s="0" t="n">
        <v>7122</v>
      </c>
      <c r="B123" s="0" t="n">
        <v>5041</v>
      </c>
      <c r="C123" s="0" t="s">
        <v>21</v>
      </c>
      <c r="D123" s="3" t="n">
        <v>45660</v>
      </c>
      <c r="E123" s="0" t="n">
        <v>56000000</v>
      </c>
      <c r="F123" s="0" t="n">
        <v>9</v>
      </c>
      <c r="G123" s="4" t="s">
        <v>17</v>
      </c>
    </row>
    <row r="124" customFormat="false" ht="15" hidden="false" customHeight="false" outlineLevel="0" collapsed="false">
      <c r="A124" s="0" t="n">
        <v>7123</v>
      </c>
      <c r="B124" s="0" t="n">
        <v>5009</v>
      </c>
      <c r="C124" s="0" t="s">
        <v>21</v>
      </c>
      <c r="D124" s="3" t="n">
        <v>45675</v>
      </c>
      <c r="E124" s="0" t="n">
        <v>48000000</v>
      </c>
      <c r="F124" s="0" t="n">
        <v>325</v>
      </c>
      <c r="G124" s="4" t="s">
        <v>19</v>
      </c>
    </row>
    <row r="125" customFormat="false" ht="15" hidden="false" customHeight="false" outlineLevel="0" collapsed="false">
      <c r="A125" s="0" t="n">
        <v>7124</v>
      </c>
      <c r="B125" s="0" t="n">
        <v>5041</v>
      </c>
      <c r="C125" s="0" t="s">
        <v>20</v>
      </c>
      <c r="D125" s="3" t="n">
        <v>45695</v>
      </c>
      <c r="E125" s="0" t="n">
        <v>50000000</v>
      </c>
      <c r="F125" s="0" t="n">
        <v>4</v>
      </c>
      <c r="G125" s="4" t="s">
        <v>19</v>
      </c>
    </row>
    <row r="126" customFormat="false" ht="15" hidden="false" customHeight="false" outlineLevel="0" collapsed="false">
      <c r="A126" s="0" t="n">
        <v>7125</v>
      </c>
      <c r="B126" s="0" t="n">
        <v>5078</v>
      </c>
      <c r="C126" s="0" t="s">
        <v>20</v>
      </c>
      <c r="D126" s="3" t="n">
        <v>45702</v>
      </c>
      <c r="E126" s="0" t="n">
        <v>70000000</v>
      </c>
      <c r="F126" s="0" t="n">
        <v>32</v>
      </c>
      <c r="G126" s="4" t="s">
        <v>17</v>
      </c>
    </row>
    <row r="127" customFormat="false" ht="15" hidden="false" customHeight="false" outlineLevel="0" collapsed="false">
      <c r="A127" s="0" t="n">
        <v>7126</v>
      </c>
      <c r="B127" s="0" t="n">
        <v>5067</v>
      </c>
      <c r="C127" s="0" t="s">
        <v>20</v>
      </c>
      <c r="D127" s="3" t="n">
        <v>45709</v>
      </c>
      <c r="E127" s="0" t="n">
        <v>51000000</v>
      </c>
      <c r="F127" s="0" t="n">
        <v>1</v>
      </c>
      <c r="G127" s="4" t="s">
        <v>17</v>
      </c>
    </row>
    <row r="128" customFormat="false" ht="15" hidden="false" customHeight="false" outlineLevel="0" collapsed="false">
      <c r="A128" s="0" t="n">
        <v>7127</v>
      </c>
      <c r="B128" s="0" t="n">
        <v>5031</v>
      </c>
      <c r="C128" s="0" t="s">
        <v>18</v>
      </c>
      <c r="D128" s="3" t="n">
        <v>45717</v>
      </c>
      <c r="E128" s="0" t="n">
        <v>19000000</v>
      </c>
      <c r="F128" s="0" t="n">
        <v>8</v>
      </c>
      <c r="G128" s="4" t="s">
        <v>17</v>
      </c>
    </row>
    <row r="129" customFormat="false" ht="15" hidden="false" customHeight="false" outlineLevel="0" collapsed="false">
      <c r="A129" s="0" t="n">
        <v>7128</v>
      </c>
      <c r="B129" s="0" t="n">
        <v>5031</v>
      </c>
      <c r="C129" s="0" t="s">
        <v>16</v>
      </c>
      <c r="D129" s="3" t="n">
        <v>45723</v>
      </c>
      <c r="E129" s="0" t="n">
        <v>58000000</v>
      </c>
      <c r="F129" s="0" t="n">
        <v>1</v>
      </c>
      <c r="G129" s="4" t="s">
        <v>19</v>
      </c>
    </row>
    <row r="130" customFormat="false" ht="15" hidden="false" customHeight="false" outlineLevel="0" collapsed="false">
      <c r="A130" s="0" t="n">
        <v>7129</v>
      </c>
      <c r="B130" s="0" t="n">
        <v>5076</v>
      </c>
      <c r="C130" s="0" t="s">
        <v>21</v>
      </c>
      <c r="D130" s="3" t="n">
        <v>45758</v>
      </c>
      <c r="E130" s="0" t="n">
        <v>41000000</v>
      </c>
      <c r="F130" s="0" t="n">
        <v>8</v>
      </c>
      <c r="G130" s="4" t="s">
        <v>17</v>
      </c>
    </row>
    <row r="131" customFormat="false" ht="15" hidden="false" customHeight="false" outlineLevel="0" collapsed="false">
      <c r="A131" s="0" t="n">
        <v>7130</v>
      </c>
      <c r="B131" s="0" t="n">
        <v>5007</v>
      </c>
      <c r="C131" s="0" t="s">
        <v>21</v>
      </c>
      <c r="D131" s="3" t="n">
        <v>45769</v>
      </c>
      <c r="E131" s="0" t="n">
        <v>21000000</v>
      </c>
      <c r="F131" s="0" t="n">
        <v>9</v>
      </c>
      <c r="G131" s="4" t="s">
        <v>17</v>
      </c>
    </row>
    <row r="132" customFormat="false" ht="15" hidden="false" customHeight="false" outlineLevel="0" collapsed="false">
      <c r="A132" s="0" t="n">
        <v>7131</v>
      </c>
      <c r="B132" s="0" t="n">
        <v>5002</v>
      </c>
      <c r="C132" s="0" t="s">
        <v>21</v>
      </c>
      <c r="D132" s="3" t="n">
        <v>45781</v>
      </c>
      <c r="E132" s="0" t="n">
        <v>38000000</v>
      </c>
      <c r="F132" s="0" t="n">
        <v>4</v>
      </c>
      <c r="G132" s="4" t="s">
        <v>17</v>
      </c>
    </row>
    <row r="133" customFormat="false" ht="15" hidden="false" customHeight="false" outlineLevel="0" collapsed="false">
      <c r="A133" s="0" t="n">
        <v>7132</v>
      </c>
      <c r="B133" s="0" t="n">
        <v>5074</v>
      </c>
      <c r="C133" s="0" t="s">
        <v>20</v>
      </c>
      <c r="D133" s="3" t="n">
        <v>45786</v>
      </c>
      <c r="E133" s="0" t="n">
        <v>27000000</v>
      </c>
      <c r="F133" s="0" t="n">
        <v>5</v>
      </c>
      <c r="G133" s="4" t="s">
        <v>19</v>
      </c>
    </row>
    <row r="134" customFormat="false" ht="15" hidden="false" customHeight="false" outlineLevel="0" collapsed="false">
      <c r="A134" s="0" t="n">
        <v>7133</v>
      </c>
      <c r="B134" s="0" t="n">
        <v>5069</v>
      </c>
      <c r="C134" s="0" t="s">
        <v>16</v>
      </c>
      <c r="D134" s="3" t="n">
        <v>45788</v>
      </c>
      <c r="E134" s="0" t="n">
        <v>15000000</v>
      </c>
      <c r="F134" s="0" t="n">
        <v>3</v>
      </c>
      <c r="G134" s="4" t="s">
        <v>17</v>
      </c>
    </row>
    <row r="135" customFormat="false" ht="15" hidden="false" customHeight="false" outlineLevel="0" collapsed="false">
      <c r="A135" s="0" t="n">
        <v>7134</v>
      </c>
      <c r="B135" s="0" t="n">
        <v>5071</v>
      </c>
      <c r="C135" s="0" t="s">
        <v>21</v>
      </c>
      <c r="D135" s="3" t="n">
        <v>45831</v>
      </c>
      <c r="E135" s="0" t="n">
        <v>71000000</v>
      </c>
      <c r="F135" s="0" t="n">
        <v>2</v>
      </c>
      <c r="G135" s="4" t="s">
        <v>17</v>
      </c>
    </row>
    <row r="136" customFormat="false" ht="15" hidden="false" customHeight="false" outlineLevel="0" collapsed="false">
      <c r="A136" s="0" t="n">
        <v>7135</v>
      </c>
      <c r="B136" s="0" t="n">
        <v>5076</v>
      </c>
      <c r="C136" s="0" t="s">
        <v>16</v>
      </c>
      <c r="D136" s="3" t="n">
        <v>45838</v>
      </c>
      <c r="E136" s="0" t="n">
        <v>16000000</v>
      </c>
      <c r="F136" s="0" t="n">
        <v>7</v>
      </c>
      <c r="G136" s="4" t="s">
        <v>19</v>
      </c>
    </row>
    <row r="137" customFormat="false" ht="15" hidden="false" customHeight="false" outlineLevel="0" collapsed="false">
      <c r="A137" s="0" t="n">
        <v>7136</v>
      </c>
      <c r="B137" s="0" t="n">
        <v>5070</v>
      </c>
      <c r="C137" s="0" t="s">
        <v>20</v>
      </c>
      <c r="D137" s="3" t="n">
        <v>45855</v>
      </c>
      <c r="E137" s="0" t="n">
        <v>17000000</v>
      </c>
      <c r="F137" s="0" t="n">
        <v>6</v>
      </c>
      <c r="G137" s="4" t="s">
        <v>19</v>
      </c>
    </row>
    <row r="138" customFormat="false" ht="15" hidden="false" customHeight="false" outlineLevel="0" collapsed="false">
      <c r="A138" s="0" t="n">
        <v>7137</v>
      </c>
      <c r="B138" s="0" t="n">
        <v>5049</v>
      </c>
      <c r="C138" s="0" t="s">
        <v>18</v>
      </c>
      <c r="D138" s="3" t="n">
        <v>45871</v>
      </c>
      <c r="E138" s="0" t="n">
        <v>65000000</v>
      </c>
      <c r="F138" s="0" t="n">
        <v>13</v>
      </c>
      <c r="G138" s="4" t="s">
        <v>17</v>
      </c>
    </row>
    <row r="139" customFormat="false" ht="15" hidden="false" customHeight="false" outlineLevel="0" collapsed="false">
      <c r="A139" s="0" t="n">
        <v>7138</v>
      </c>
      <c r="B139" s="0" t="n">
        <v>5070</v>
      </c>
      <c r="C139" s="0" t="s">
        <v>21</v>
      </c>
      <c r="D139" s="3" t="n">
        <v>45881</v>
      </c>
      <c r="E139" s="0" t="n">
        <v>58000000</v>
      </c>
      <c r="F139" s="0" t="n">
        <v>1</v>
      </c>
      <c r="G139" s="4" t="s">
        <v>19</v>
      </c>
    </row>
    <row r="140" customFormat="false" ht="15" hidden="false" customHeight="false" outlineLevel="0" collapsed="false">
      <c r="A140" s="0" t="n">
        <v>7139</v>
      </c>
      <c r="B140" s="0" t="n">
        <v>5066</v>
      </c>
      <c r="C140" s="0" t="s">
        <v>21</v>
      </c>
      <c r="D140" s="3" t="n">
        <v>45883</v>
      </c>
      <c r="E140" s="0" t="n">
        <v>36000000</v>
      </c>
      <c r="F140" s="0" t="n">
        <v>4</v>
      </c>
      <c r="G140" s="4" t="s">
        <v>17</v>
      </c>
    </row>
    <row r="141" customFormat="false" ht="15" hidden="false" customHeight="false" outlineLevel="0" collapsed="false">
      <c r="A141" s="0" t="n">
        <v>7140</v>
      </c>
      <c r="B141" s="0" t="n">
        <v>5028</v>
      </c>
      <c r="C141" s="0" t="s">
        <v>16</v>
      </c>
      <c r="D141" s="3" t="n">
        <v>45884</v>
      </c>
      <c r="E141" s="0" t="n">
        <v>24000000</v>
      </c>
      <c r="F141" s="0" t="n">
        <v>4</v>
      </c>
      <c r="G141" s="4" t="s">
        <v>17</v>
      </c>
    </row>
    <row r="142" customFormat="false" ht="15" hidden="false" customHeight="false" outlineLevel="0" collapsed="false">
      <c r="A142" s="0" t="n">
        <v>7141</v>
      </c>
      <c r="B142" s="0" t="n">
        <v>5013</v>
      </c>
      <c r="C142" s="0" t="s">
        <v>20</v>
      </c>
      <c r="D142" s="3" t="n">
        <v>45886</v>
      </c>
      <c r="E142" s="0" t="n">
        <v>54000000</v>
      </c>
      <c r="F142" s="0" t="n">
        <v>65</v>
      </c>
      <c r="G142" s="4" t="s">
        <v>17</v>
      </c>
    </row>
    <row r="143" customFormat="false" ht="15" hidden="false" customHeight="false" outlineLevel="0" collapsed="false">
      <c r="A143" s="0" t="n">
        <v>7142</v>
      </c>
      <c r="B143" s="0" t="n">
        <v>5004</v>
      </c>
      <c r="C143" s="0" t="s">
        <v>20</v>
      </c>
      <c r="D143" s="3" t="n">
        <v>45892</v>
      </c>
      <c r="E143" s="0" t="n">
        <v>17000000</v>
      </c>
      <c r="F143" s="0" t="n">
        <v>5</v>
      </c>
      <c r="G143" s="4" t="s">
        <v>17</v>
      </c>
    </row>
    <row r="144" customFormat="false" ht="15" hidden="false" customHeight="false" outlineLevel="0" collapsed="false">
      <c r="A144" s="0" t="n">
        <v>7143</v>
      </c>
      <c r="B144" s="0" t="n">
        <v>5076</v>
      </c>
      <c r="C144" s="0" t="s">
        <v>20</v>
      </c>
      <c r="D144" s="3" t="n">
        <v>45895</v>
      </c>
      <c r="E144" s="0" t="n">
        <v>42000000</v>
      </c>
      <c r="F144" s="0" t="n">
        <v>4</v>
      </c>
      <c r="G144" s="4" t="s">
        <v>19</v>
      </c>
    </row>
    <row r="145" customFormat="false" ht="15" hidden="false" customHeight="false" outlineLevel="0" collapsed="false">
      <c r="A145" s="0" t="n">
        <v>7144</v>
      </c>
      <c r="B145" s="0" t="n">
        <v>5018</v>
      </c>
      <c r="C145" s="0" t="s">
        <v>18</v>
      </c>
      <c r="D145" s="3" t="n">
        <v>45912</v>
      </c>
      <c r="E145" s="0" t="n">
        <v>53000000</v>
      </c>
      <c r="F145" s="0" t="n">
        <v>3</v>
      </c>
      <c r="G145" s="4" t="s">
        <v>17</v>
      </c>
    </row>
    <row r="146" customFormat="false" ht="15" hidden="false" customHeight="false" outlineLevel="0" collapsed="false">
      <c r="A146" s="0" t="n">
        <v>7145</v>
      </c>
      <c r="B146" s="0" t="n">
        <v>5071</v>
      </c>
      <c r="C146" s="0" t="s">
        <v>20</v>
      </c>
      <c r="D146" s="3" t="n">
        <v>45916</v>
      </c>
      <c r="E146" s="0" t="n">
        <v>72000000</v>
      </c>
      <c r="F146" s="0" t="n">
        <v>1</v>
      </c>
      <c r="G146" s="4" t="s">
        <v>17</v>
      </c>
    </row>
    <row r="147" customFormat="false" ht="15" hidden="false" customHeight="false" outlineLevel="0" collapsed="false">
      <c r="A147" s="0" t="n">
        <v>7146</v>
      </c>
      <c r="B147" s="0" t="n">
        <v>5021</v>
      </c>
      <c r="C147" s="0" t="s">
        <v>21</v>
      </c>
      <c r="D147" s="3" t="n">
        <v>45936</v>
      </c>
      <c r="E147" s="0" t="n">
        <v>57000000</v>
      </c>
      <c r="F147" s="0" t="n">
        <v>9</v>
      </c>
      <c r="G147" s="4" t="s">
        <v>17</v>
      </c>
    </row>
    <row r="148" customFormat="false" ht="15" hidden="false" customHeight="false" outlineLevel="0" collapsed="false">
      <c r="A148" s="0" t="n">
        <v>7147</v>
      </c>
      <c r="B148" s="0" t="n">
        <v>5018</v>
      </c>
      <c r="C148" s="0" t="s">
        <v>18</v>
      </c>
      <c r="D148" s="3" t="n">
        <v>45941</v>
      </c>
      <c r="E148" s="0" t="n">
        <v>66000000</v>
      </c>
      <c r="F148" s="0" t="n">
        <v>2</v>
      </c>
      <c r="G148" s="4" t="s">
        <v>19</v>
      </c>
    </row>
    <row r="149" customFormat="false" ht="15" hidden="false" customHeight="false" outlineLevel="0" collapsed="false">
      <c r="A149" s="0" t="n">
        <v>7148</v>
      </c>
      <c r="B149" s="0" t="n">
        <v>5026</v>
      </c>
      <c r="C149" s="0" t="s">
        <v>21</v>
      </c>
      <c r="D149" s="3" t="n">
        <v>45951</v>
      </c>
      <c r="E149" s="0" t="n">
        <v>52000000</v>
      </c>
      <c r="F149" s="0" t="n">
        <v>1</v>
      </c>
      <c r="G149" s="4" t="s">
        <v>19</v>
      </c>
    </row>
    <row r="150" customFormat="false" ht="15" hidden="false" customHeight="false" outlineLevel="0" collapsed="false">
      <c r="A150" s="0" t="n">
        <v>7149</v>
      </c>
      <c r="B150" s="0" t="n">
        <v>5046</v>
      </c>
      <c r="C150" s="0" t="s">
        <v>16</v>
      </c>
      <c r="D150" s="3" t="n">
        <v>45955</v>
      </c>
      <c r="E150" s="0" t="n">
        <v>18000000</v>
      </c>
      <c r="F150" s="0" t="n">
        <v>2</v>
      </c>
      <c r="G150" s="4" t="s">
        <v>19</v>
      </c>
    </row>
    <row r="151" customFormat="false" ht="15" hidden="false" customHeight="false" outlineLevel="0" collapsed="false">
      <c r="A151" s="0" t="n">
        <v>7150</v>
      </c>
      <c r="B151" s="0" t="n">
        <v>5072</v>
      </c>
      <c r="C151" s="0" t="s">
        <v>20</v>
      </c>
      <c r="D151" s="3" t="n">
        <v>45956</v>
      </c>
      <c r="E151" s="0" t="n">
        <v>12000000</v>
      </c>
      <c r="F151" s="0" t="n">
        <v>8</v>
      </c>
      <c r="G151" s="4" t="s">
        <v>17</v>
      </c>
    </row>
    <row r="152" customFormat="false" ht="15" hidden="false" customHeight="false" outlineLevel="0" collapsed="false">
      <c r="A152" s="0" t="n">
        <v>7151</v>
      </c>
      <c r="B152" s="0" t="n">
        <v>5074</v>
      </c>
      <c r="C152" s="0" t="s">
        <v>16</v>
      </c>
      <c r="D152" s="3" t="n">
        <v>45962</v>
      </c>
      <c r="E152" s="0" t="n">
        <v>72000000</v>
      </c>
      <c r="F152" s="0" t="n">
        <v>9</v>
      </c>
      <c r="G15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7"/>
  </cols>
  <sheetData>
    <row r="1" customFormat="false" ht="15" hidden="false" customHeight="false" outlineLevel="0" collapsed="false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customFormat="false" ht="15" hidden="false" customHeight="false" outlineLevel="0" collapsed="false">
      <c r="A2" s="0" t="n">
        <v>1</v>
      </c>
      <c r="B2" s="0" t="s">
        <v>31</v>
      </c>
      <c r="C2" s="0" t="n">
        <v>700</v>
      </c>
      <c r="D2" s="0" t="n">
        <v>15000000</v>
      </c>
      <c r="E2" s="0" t="n">
        <v>300000000</v>
      </c>
      <c r="F2" s="0" t="n">
        <v>48</v>
      </c>
      <c r="G2" s="0" t="n">
        <v>0.1</v>
      </c>
      <c r="H2" s="0" t="n">
        <v>0.5</v>
      </c>
      <c r="I2" s="0" t="n">
        <v>0</v>
      </c>
    </row>
    <row r="3" customFormat="false" ht="15" hidden="false" customHeight="false" outlineLevel="0" collapsed="false">
      <c r="A3" s="0" t="n">
        <v>2</v>
      </c>
      <c r="B3" s="0" t="s">
        <v>32</v>
      </c>
      <c r="C3" s="0" t="n">
        <v>600</v>
      </c>
      <c r="D3" s="0" t="n">
        <v>10000000</v>
      </c>
      <c r="E3" s="0" t="n">
        <v>150000000</v>
      </c>
      <c r="F3" s="0" t="n">
        <v>36</v>
      </c>
      <c r="G3" s="0" t="n">
        <v>0.16</v>
      </c>
      <c r="H3" s="0" t="n">
        <v>0.45</v>
      </c>
      <c r="I3" s="0" t="n">
        <v>0</v>
      </c>
    </row>
    <row r="4" customFormat="false" ht="15" hidden="false" customHeight="false" outlineLevel="0" collapsed="false">
      <c r="A4" s="0" t="n">
        <v>3</v>
      </c>
      <c r="B4" s="0" t="s">
        <v>33</v>
      </c>
      <c r="C4" s="0" t="n">
        <v>500</v>
      </c>
      <c r="D4" s="0" t="n">
        <v>7000000</v>
      </c>
      <c r="E4" s="0" t="n">
        <v>50000000</v>
      </c>
      <c r="F4" s="0" t="n">
        <v>24</v>
      </c>
      <c r="G4" s="0" t="n">
        <v>0.24</v>
      </c>
      <c r="H4" s="0" t="n">
        <v>0.4</v>
      </c>
      <c r="I4" s="0" t="n">
        <v>0</v>
      </c>
    </row>
    <row r="5" customFormat="false" ht="15" hidden="false" customHeight="false" outlineLevel="0" collapsed="false">
      <c r="A5" s="0" t="n">
        <v>4</v>
      </c>
      <c r="B5" s="0" t="s">
        <v>34</v>
      </c>
      <c r="C5" s="0" t="n">
        <v>400</v>
      </c>
      <c r="D5" s="0" t="n">
        <v>5000000</v>
      </c>
      <c r="E5" s="0" t="n">
        <v>15000000</v>
      </c>
      <c r="F5" s="0" t="n">
        <v>12</v>
      </c>
      <c r="G5" s="0" t="n">
        <v>0.3</v>
      </c>
      <c r="H5" s="0" t="n">
        <v>0.35</v>
      </c>
      <c r="I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7"/>
  </cols>
  <sheetData>
    <row r="1" customFormat="false" ht="15" hidden="false" customHeight="false" outlineLevel="0" collapsed="false">
      <c r="A1" s="2" t="s">
        <v>35</v>
      </c>
      <c r="B1" s="2" t="s">
        <v>24</v>
      </c>
      <c r="C1" s="2" t="s">
        <v>36</v>
      </c>
      <c r="D1" s="2" t="s">
        <v>37</v>
      </c>
      <c r="E1" s="2" t="s">
        <v>38</v>
      </c>
    </row>
    <row r="2" customFormat="false" ht="15" hidden="false" customHeight="false" outlineLevel="0" collapsed="false">
      <c r="A2" s="0" t="s">
        <v>39</v>
      </c>
      <c r="B2" s="0" t="n">
        <v>701</v>
      </c>
      <c r="C2" s="0" t="n">
        <v>850</v>
      </c>
      <c r="D2" s="0" t="n">
        <f aca="false">COUNTIFS(applicants!$D$2:$D$81,"&gt;="&amp;B2,applicants!$D$2:$D$81,"&lt;="&amp;C2)</f>
        <v>23</v>
      </c>
      <c r="E2" s="0" t="n">
        <f aca="false">ROUND(AVERAGEIFS(applicants!$B$2:$B$81,applicants!$D$2:$D$81,"&gt;="&amp;B2,applicants!$D$2:$D$81,"&lt;="&amp;C2),0)</f>
        <v>14695652</v>
      </c>
    </row>
    <row r="3" customFormat="false" ht="15" hidden="false" customHeight="false" outlineLevel="0" collapsed="false">
      <c r="A3" s="0" t="s">
        <v>40</v>
      </c>
      <c r="B3" s="0" t="n">
        <v>501</v>
      </c>
      <c r="C3" s="0" t="n">
        <v>700</v>
      </c>
      <c r="D3" s="0" t="n">
        <f aca="false">COUNTIFS(applicants!$D$2:$D$81,"&gt;="&amp;B3,applicants!$D$2:$D$81,"&lt;="&amp;C3)</f>
        <v>27</v>
      </c>
      <c r="E3" s="0" t="n">
        <f aca="false">ROUND(AVERAGEIFS(applicants!$B$2:$B$81,applicants!$D$2:$D$81,"&gt;="&amp;B3,applicants!$D$2:$D$81,"&lt;="&amp;C3),0)</f>
        <v>14814815</v>
      </c>
    </row>
    <row r="4" customFormat="false" ht="15" hidden="false" customHeight="false" outlineLevel="0" collapsed="false">
      <c r="A4" s="0" t="s">
        <v>41</v>
      </c>
      <c r="B4" s="0" t="n">
        <v>300</v>
      </c>
      <c r="C4" s="0" t="n">
        <v>500</v>
      </c>
      <c r="D4" s="0" t="n">
        <f aca="false">COUNTIFS(applicants!$D$2:$D$81,"&gt;="&amp;B4,applicants!$D$2:$D$81,"&lt;="&amp;C4)</f>
        <v>10</v>
      </c>
      <c r="E4" s="0" t="n">
        <f aca="false">ROUND(AVERAGEIFS(applicants!$B$2:$B$81,applicants!$D$2:$D$81,"&gt;="&amp;B4,applicants!$D$2:$D$81,"&lt;="&amp;C4),0)</f>
        <v>14800000</v>
      </c>
    </row>
    <row r="5" customFormat="false" ht="15" hidden="false" customHeight="false" outlineLevel="0" collapsed="false">
      <c r="A5" s="0" t="s">
        <v>42</v>
      </c>
      <c r="D5" s="0" t="n">
        <f aca="false">COUNTIFS(applicants!$D$2:$D$81,"=")</f>
        <v>20</v>
      </c>
      <c r="E5" s="0" t="n">
        <f aca="false">ROUND(AVERAGEIFS(applicants!$B$2:$B$81,applicants!$D$2:$D$81,"="),0)</f>
        <v>13000000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7"/>
  </cols>
  <sheetData>
    <row r="1" customFormat="false" ht="15" hidden="false" customHeight="false" outlineLevel="0" collapsed="false">
      <c r="A1" s="2" t="s">
        <v>4</v>
      </c>
      <c r="B1" s="2" t="s">
        <v>7</v>
      </c>
      <c r="C1" s="2" t="s">
        <v>43</v>
      </c>
      <c r="D1" s="2" t="s">
        <v>44</v>
      </c>
      <c r="E1" s="2"/>
      <c r="F1" s="2" t="s">
        <v>44</v>
      </c>
      <c r="G1" s="2" t="s">
        <v>37</v>
      </c>
      <c r="H1" s="2" t="s">
        <v>45</v>
      </c>
    </row>
    <row r="2" customFormat="false" ht="15" hidden="false" customHeight="false" outlineLevel="0" collapsed="false">
      <c r="A2" s="0" t="n">
        <v>5001</v>
      </c>
      <c r="B2" s="0" t="n">
        <v>426</v>
      </c>
      <c r="C2" s="0" t="n">
        <f aca="false">IF(COUNTIF(history!$B$2:$B$152,A2)=0,"",_xlfn.MAXIFS(history!$F$2:$F$152,history!$B$2:$B$152,A2))</f>
        <v>262</v>
      </c>
      <c r="D2" s="0" t="str">
        <f aca="false">IF(C2="","No history",IF(C2&gt;=91,"Severe",IF(C2&gt;=10,"Watch","Clean")))</f>
        <v>Severe</v>
      </c>
      <c r="F2" s="0" t="s">
        <v>46</v>
      </c>
      <c r="G2" s="0" t="n">
        <f aca="false">COUNTIF($D$2:$D$81,F2)</f>
        <v>20</v>
      </c>
      <c r="H2" s="0" t="str">
        <f aca="false">IFERROR(ROUND(AVERAGEIFS($B$2:$B$81,$D$2:$D$81,F2),0),"")</f>
        <v/>
      </c>
    </row>
    <row r="3" customFormat="false" ht="15" hidden="false" customHeight="false" outlineLevel="0" collapsed="false">
      <c r="A3" s="0" t="n">
        <v>5002</v>
      </c>
      <c r="B3" s="0" t="n">
        <v>799</v>
      </c>
      <c r="C3" s="0" t="n">
        <f aca="false">IF(COUNTIF(history!$B$2:$B$152,A3)=0,"",_xlfn.MAXIFS(history!$F$2:$F$152,history!$B$2:$B$152,A3))</f>
        <v>7</v>
      </c>
      <c r="D3" s="0" t="str">
        <f aca="false">IF(C3="","No history",IF(C3&gt;=91,"Severe",IF(C3&gt;=10,"Watch","Clean")))</f>
        <v>Clean</v>
      </c>
      <c r="F3" s="0" t="s">
        <v>47</v>
      </c>
      <c r="G3" s="0" t="n">
        <f aca="false">COUNTIF($D$2:$D$81,F3)</f>
        <v>36</v>
      </c>
      <c r="H3" s="0" t="n">
        <f aca="false">IFERROR(ROUND(AVERAGEIFS($B$2:$B$81,$D$2:$D$81,F3),0),"")</f>
        <v>710</v>
      </c>
    </row>
    <row r="4" customFormat="false" ht="15" hidden="false" customHeight="false" outlineLevel="0" collapsed="false">
      <c r="A4" s="0" t="n">
        <v>5003</v>
      </c>
      <c r="C4" s="0" t="str">
        <f aca="false">IF(COUNTIF(history!$B$2:$B$152,A4)=0,"",_xlfn.MAXIFS(history!$F$2:$F$152,history!$B$2:$B$152,A4))</f>
        <v/>
      </c>
      <c r="D4" s="0" t="str">
        <f aca="false">IF(C4="","No history",IF(C4&gt;=91,"Severe",IF(C4&gt;=10,"Watch","Clean")))</f>
        <v>No history</v>
      </c>
      <c r="F4" s="0" t="s">
        <v>48</v>
      </c>
      <c r="G4" s="0" t="n">
        <f aca="false">COUNTIF($D$2:$D$81,F4)</f>
        <v>15</v>
      </c>
      <c r="H4" s="0" t="n">
        <f aca="false">IFERROR(ROUND(AVERAGEIFS($B$2:$B$81,$D$2:$D$81,F4),0),"")</f>
        <v>578</v>
      </c>
    </row>
    <row r="5" customFormat="false" ht="15" hidden="false" customHeight="false" outlineLevel="0" collapsed="false">
      <c r="A5" s="0" t="n">
        <v>5004</v>
      </c>
      <c r="B5" s="0" t="n">
        <v>710</v>
      </c>
      <c r="C5" s="0" t="n">
        <f aca="false">IF(COUNTIF(history!$B$2:$B$152,A5)=0,"",_xlfn.MAXIFS(history!$F$2:$F$152,history!$B$2:$B$152,A5))</f>
        <v>91</v>
      </c>
      <c r="D5" s="0" t="str">
        <f aca="false">IF(C5="","No history",IF(C5&gt;=91,"Severe",IF(C5&gt;=10,"Watch","Clean")))</f>
        <v>Severe</v>
      </c>
      <c r="F5" s="0" t="s">
        <v>49</v>
      </c>
      <c r="G5" s="0" t="n">
        <f aca="false">COUNTIF($D$2:$D$81,F5)</f>
        <v>9</v>
      </c>
      <c r="H5" s="0" t="n">
        <f aca="false">IFERROR(ROUND(AVERAGEIFS($B$2:$B$81,$D$2:$D$81,F5),0),"")</f>
        <v>440</v>
      </c>
    </row>
    <row r="6" customFormat="false" ht="15" hidden="false" customHeight="false" outlineLevel="0" collapsed="false">
      <c r="A6" s="0" t="n">
        <v>5005</v>
      </c>
      <c r="C6" s="0" t="str">
        <f aca="false">IF(COUNTIF(history!$B$2:$B$152,A6)=0,"",_xlfn.MAXIFS(history!$F$2:$F$152,history!$B$2:$B$152,A6))</f>
        <v/>
      </c>
      <c r="D6" s="0" t="str">
        <f aca="false">IF(C6="","No history",IF(C6&gt;=91,"Severe",IF(C6&gt;=10,"Watch","Clean")))</f>
        <v>No history</v>
      </c>
    </row>
    <row r="7" customFormat="false" ht="15" hidden="false" customHeight="false" outlineLevel="0" collapsed="false">
      <c r="A7" s="0" t="n">
        <v>5006</v>
      </c>
      <c r="C7" s="0" t="str">
        <f aca="false">IF(COUNTIF(history!$B$2:$B$152,A7)=0,"",_xlfn.MAXIFS(history!$F$2:$F$152,history!$B$2:$B$152,A7))</f>
        <v/>
      </c>
      <c r="D7" s="0" t="str">
        <f aca="false">IF(C7="","No history",IF(C7&gt;=91,"Severe",IF(C7&gt;=10,"Watch","Clean")))</f>
        <v>No history</v>
      </c>
    </row>
    <row r="8" customFormat="false" ht="15" hidden="false" customHeight="false" outlineLevel="0" collapsed="false">
      <c r="A8" s="0" t="n">
        <v>5007</v>
      </c>
      <c r="B8" s="0" t="n">
        <v>779</v>
      </c>
      <c r="C8" s="0" t="n">
        <f aca="false">IF(COUNTIF(history!$B$2:$B$152,A8)=0,"",_xlfn.MAXIFS(history!$F$2:$F$152,history!$B$2:$B$152,A8))</f>
        <v>9</v>
      </c>
      <c r="D8" s="0" t="str">
        <f aca="false">IF(C8="","No history",IF(C8&gt;=91,"Severe",IF(C8&gt;=10,"Watch","Clean")))</f>
        <v>Clean</v>
      </c>
    </row>
    <row r="9" customFormat="false" ht="15" hidden="false" customHeight="false" outlineLevel="0" collapsed="false">
      <c r="A9" s="0" t="n">
        <v>5008</v>
      </c>
      <c r="B9" s="0" t="n">
        <v>599</v>
      </c>
      <c r="C9" s="0" t="n">
        <f aca="false">IF(COUNTIF(history!$B$2:$B$152,A9)=0,"",_xlfn.MAXIFS(history!$F$2:$F$152,history!$B$2:$B$152,A9))</f>
        <v>6</v>
      </c>
      <c r="D9" s="0" t="str">
        <f aca="false">IF(C9="","No history",IF(C9&gt;=91,"Severe",IF(C9&gt;=10,"Watch","Clean")))</f>
        <v>Clean</v>
      </c>
    </row>
    <row r="10" customFormat="false" ht="15" hidden="false" customHeight="false" outlineLevel="0" collapsed="false">
      <c r="A10" s="0" t="n">
        <v>5009</v>
      </c>
      <c r="B10" s="0" t="n">
        <v>468</v>
      </c>
      <c r="C10" s="0" t="n">
        <f aca="false">IF(COUNTIF(history!$B$2:$B$152,A10)=0,"",_xlfn.MAXIFS(history!$F$2:$F$152,history!$B$2:$B$152,A10))</f>
        <v>325</v>
      </c>
      <c r="D10" s="0" t="str">
        <f aca="false">IF(C10="","No history",IF(C10&gt;=91,"Severe",IF(C10&gt;=10,"Watch","Clean")))</f>
        <v>Severe</v>
      </c>
    </row>
    <row r="11" customFormat="false" ht="15" hidden="false" customHeight="false" outlineLevel="0" collapsed="false">
      <c r="A11" s="0" t="n">
        <v>5010</v>
      </c>
      <c r="B11" s="0" t="n">
        <v>660</v>
      </c>
      <c r="C11" s="0" t="n">
        <f aca="false">IF(COUNTIF(history!$B$2:$B$152,A11)=0,"",_xlfn.MAXIFS(history!$F$2:$F$152,history!$B$2:$B$152,A11))</f>
        <v>36</v>
      </c>
      <c r="D11" s="0" t="str">
        <f aca="false">IF(C11="","No history",IF(C11&gt;=91,"Severe",IF(C11&gt;=10,"Watch","Clean")))</f>
        <v>Watch</v>
      </c>
    </row>
    <row r="12" customFormat="false" ht="15" hidden="false" customHeight="false" outlineLevel="0" collapsed="false">
      <c r="A12" s="0" t="n">
        <v>5011</v>
      </c>
      <c r="C12" s="0" t="str">
        <f aca="false">IF(COUNTIF(history!$B$2:$B$152,A12)=0,"",_xlfn.MAXIFS(history!$F$2:$F$152,history!$B$2:$B$152,A12))</f>
        <v/>
      </c>
      <c r="D12" s="0" t="str">
        <f aca="false">IF(C12="","No history",IF(C12&gt;=91,"Severe",IF(C12&gt;=10,"Watch","Clean")))</f>
        <v>No history</v>
      </c>
    </row>
    <row r="13" customFormat="false" ht="15" hidden="false" customHeight="false" outlineLevel="0" collapsed="false">
      <c r="A13" s="0" t="n">
        <v>5012</v>
      </c>
      <c r="C13" s="0" t="str">
        <f aca="false">IF(COUNTIF(history!$B$2:$B$152,A13)=0,"",_xlfn.MAXIFS(history!$F$2:$F$152,history!$B$2:$B$152,A13))</f>
        <v/>
      </c>
      <c r="D13" s="0" t="str">
        <f aca="false">IF(C13="","No history",IF(C13&gt;=91,"Severe",IF(C13&gt;=10,"Watch","Clean")))</f>
        <v>No history</v>
      </c>
    </row>
    <row r="14" customFormat="false" ht="15" hidden="false" customHeight="false" outlineLevel="0" collapsed="false">
      <c r="A14" s="0" t="n">
        <v>5013</v>
      </c>
      <c r="B14" s="0" t="n">
        <v>518</v>
      </c>
      <c r="C14" s="0" t="n">
        <f aca="false">IF(COUNTIF(history!$B$2:$B$152,A14)=0,"",_xlfn.MAXIFS(history!$F$2:$F$152,history!$B$2:$B$152,A14))</f>
        <v>65</v>
      </c>
      <c r="D14" s="0" t="str">
        <f aca="false">IF(C14="","No history",IF(C14&gt;=91,"Severe",IF(C14&gt;=10,"Watch","Clean")))</f>
        <v>Watch</v>
      </c>
    </row>
    <row r="15" customFormat="false" ht="15" hidden="false" customHeight="false" outlineLevel="0" collapsed="false">
      <c r="A15" s="0" t="n">
        <v>5014</v>
      </c>
      <c r="C15" s="0" t="str">
        <f aca="false">IF(COUNTIF(history!$B$2:$B$152,A15)=0,"",_xlfn.MAXIFS(history!$F$2:$F$152,history!$B$2:$B$152,A15))</f>
        <v/>
      </c>
      <c r="D15" s="0" t="str">
        <f aca="false">IF(C15="","No history",IF(C15&gt;=91,"Severe",IF(C15&gt;=10,"Watch","Clean")))</f>
        <v>No history</v>
      </c>
    </row>
    <row r="16" customFormat="false" ht="15" hidden="false" customHeight="false" outlineLevel="0" collapsed="false">
      <c r="A16" s="0" t="n">
        <v>5015</v>
      </c>
      <c r="B16" s="0" t="n">
        <v>442</v>
      </c>
      <c r="C16" s="0" t="n">
        <f aca="false">IF(COUNTIF(history!$B$2:$B$152,A16)=0,"",_xlfn.MAXIFS(history!$F$2:$F$152,history!$B$2:$B$152,A16))</f>
        <v>183</v>
      </c>
      <c r="D16" s="0" t="str">
        <f aca="false">IF(C16="","No history",IF(C16&gt;=91,"Severe",IF(C16&gt;=10,"Watch","Clean")))</f>
        <v>Severe</v>
      </c>
    </row>
    <row r="17" customFormat="false" ht="15" hidden="false" customHeight="false" outlineLevel="0" collapsed="false">
      <c r="A17" s="0" t="n">
        <v>5016</v>
      </c>
      <c r="C17" s="0" t="str">
        <f aca="false">IF(COUNTIF(history!$B$2:$B$152,A17)=0,"",_xlfn.MAXIFS(history!$F$2:$F$152,history!$B$2:$B$152,A17))</f>
        <v/>
      </c>
      <c r="D17" s="0" t="str">
        <f aca="false">IF(C17="","No history",IF(C17&gt;=91,"Severe",IF(C17&gt;=10,"Watch","Clean")))</f>
        <v>No history</v>
      </c>
    </row>
    <row r="18" customFormat="false" ht="15" hidden="false" customHeight="false" outlineLevel="0" collapsed="false">
      <c r="A18" s="0" t="n">
        <v>5017</v>
      </c>
      <c r="C18" s="0" t="str">
        <f aca="false">IF(COUNTIF(history!$B$2:$B$152,A18)=0,"",_xlfn.MAXIFS(history!$F$2:$F$152,history!$B$2:$B$152,A18))</f>
        <v/>
      </c>
      <c r="D18" s="0" t="str">
        <f aca="false">IF(C18="","No history",IF(C18&gt;=91,"Severe",IF(C18&gt;=10,"Watch","Clean")))</f>
        <v>No history</v>
      </c>
    </row>
    <row r="19" customFormat="false" ht="15" hidden="false" customHeight="false" outlineLevel="0" collapsed="false">
      <c r="A19" s="0" t="n">
        <v>5018</v>
      </c>
      <c r="B19" s="0" t="n">
        <v>631</v>
      </c>
      <c r="C19" s="0" t="n">
        <f aca="false">IF(COUNTIF(history!$B$2:$B$152,A19)=0,"",_xlfn.MAXIFS(history!$F$2:$F$152,history!$B$2:$B$152,A19))</f>
        <v>6</v>
      </c>
      <c r="D19" s="0" t="str">
        <f aca="false">IF(C19="","No history",IF(C19&gt;=91,"Severe",IF(C19&gt;=10,"Watch","Clean")))</f>
        <v>Clean</v>
      </c>
    </row>
    <row r="20" customFormat="false" ht="15" hidden="false" customHeight="false" outlineLevel="0" collapsed="false">
      <c r="A20" s="0" t="n">
        <v>5019</v>
      </c>
      <c r="B20" s="0" t="n">
        <v>699</v>
      </c>
      <c r="C20" s="0" t="n">
        <f aca="false">IF(COUNTIF(history!$B$2:$B$152,A20)=0,"",_xlfn.MAXIFS(history!$F$2:$F$152,history!$B$2:$B$152,A20))</f>
        <v>8</v>
      </c>
      <c r="D20" s="0" t="str">
        <f aca="false">IF(C20="","No history",IF(C20&gt;=91,"Severe",IF(C20&gt;=10,"Watch","Clean")))</f>
        <v>Clean</v>
      </c>
    </row>
    <row r="21" customFormat="false" ht="15" hidden="false" customHeight="false" outlineLevel="0" collapsed="false">
      <c r="A21" s="0" t="n">
        <v>5020</v>
      </c>
      <c r="C21" s="0" t="str">
        <f aca="false">IF(COUNTIF(history!$B$2:$B$152,A21)=0,"",_xlfn.MAXIFS(history!$F$2:$F$152,history!$B$2:$B$152,A21))</f>
        <v/>
      </c>
      <c r="D21" s="0" t="str">
        <f aca="false">IF(C21="","No history",IF(C21&gt;=91,"Severe",IF(C21&gt;=10,"Watch","Clean")))</f>
        <v>No history</v>
      </c>
    </row>
    <row r="22" customFormat="false" ht="15" hidden="false" customHeight="false" outlineLevel="0" collapsed="false">
      <c r="A22" s="0" t="n">
        <v>5021</v>
      </c>
      <c r="B22" s="0" t="n">
        <v>577</v>
      </c>
      <c r="C22" s="0" t="n">
        <f aca="false">IF(COUNTIF(history!$B$2:$B$152,A22)=0,"",_xlfn.MAXIFS(history!$F$2:$F$152,history!$B$2:$B$152,A22))</f>
        <v>77</v>
      </c>
      <c r="D22" s="0" t="str">
        <f aca="false">IF(C22="","No history",IF(C22&gt;=91,"Severe",IF(C22&gt;=10,"Watch","Clean")))</f>
        <v>Watch</v>
      </c>
    </row>
    <row r="23" customFormat="false" ht="15" hidden="false" customHeight="false" outlineLevel="0" collapsed="false">
      <c r="A23" s="0" t="n">
        <v>5022</v>
      </c>
      <c r="B23" s="0" t="n">
        <v>564</v>
      </c>
      <c r="C23" s="0" t="n">
        <f aca="false">IF(COUNTIF(history!$B$2:$B$152,A23)=0,"",_xlfn.MAXIFS(history!$F$2:$F$152,history!$B$2:$B$152,A23))</f>
        <v>9</v>
      </c>
      <c r="D23" s="0" t="str">
        <f aca="false">IF(C23="","No history",IF(C23&gt;=91,"Severe",IF(C23&gt;=10,"Watch","Clean")))</f>
        <v>Clean</v>
      </c>
    </row>
    <row r="24" customFormat="false" ht="15" hidden="false" customHeight="false" outlineLevel="0" collapsed="false">
      <c r="A24" s="0" t="n">
        <v>5023</v>
      </c>
      <c r="C24" s="0" t="str">
        <f aca="false">IF(COUNTIF(history!$B$2:$B$152,A24)=0,"",_xlfn.MAXIFS(history!$F$2:$F$152,history!$B$2:$B$152,A24))</f>
        <v/>
      </c>
      <c r="D24" s="0" t="str">
        <f aca="false">IF(C24="","No history",IF(C24&gt;=91,"Severe",IF(C24&gt;=10,"Watch","Clean")))</f>
        <v>No history</v>
      </c>
    </row>
    <row r="25" customFormat="false" ht="15" hidden="false" customHeight="false" outlineLevel="0" collapsed="false">
      <c r="A25" s="0" t="n">
        <v>5024</v>
      </c>
      <c r="B25" s="0" t="n">
        <v>760</v>
      </c>
      <c r="C25" s="0" t="n">
        <f aca="false">IF(COUNTIF(history!$B$2:$B$152,A25)=0,"",_xlfn.MAXIFS(history!$F$2:$F$152,history!$B$2:$B$152,A25))</f>
        <v>3</v>
      </c>
      <c r="D25" s="0" t="str">
        <f aca="false">IF(C25="","No history",IF(C25&gt;=91,"Severe",IF(C25&gt;=10,"Watch","Clean")))</f>
        <v>Clean</v>
      </c>
    </row>
    <row r="26" customFormat="false" ht="15" hidden="false" customHeight="false" outlineLevel="0" collapsed="false">
      <c r="A26" s="0" t="n">
        <v>5025</v>
      </c>
      <c r="B26" s="0" t="n">
        <v>563</v>
      </c>
      <c r="C26" s="0" t="n">
        <f aca="false">IF(COUNTIF(history!$B$2:$B$152,A26)=0,"",_xlfn.MAXIFS(history!$F$2:$F$152,history!$B$2:$B$152,A26))</f>
        <v>68</v>
      </c>
      <c r="D26" s="0" t="str">
        <f aca="false">IF(C26="","No history",IF(C26&gt;=91,"Severe",IF(C26&gt;=10,"Watch","Clean")))</f>
        <v>Watch</v>
      </c>
    </row>
    <row r="27" customFormat="false" ht="15" hidden="false" customHeight="false" outlineLevel="0" collapsed="false">
      <c r="A27" s="0" t="n">
        <v>5026</v>
      </c>
      <c r="B27" s="0" t="n">
        <v>642</v>
      </c>
      <c r="C27" s="0" t="n">
        <f aca="false">IF(COUNTIF(history!$B$2:$B$152,A27)=0,"",_xlfn.MAXIFS(history!$F$2:$F$152,history!$B$2:$B$152,A27))</f>
        <v>6</v>
      </c>
      <c r="D27" s="0" t="str">
        <f aca="false">IF(C27="","No history",IF(C27&gt;=91,"Severe",IF(C27&gt;=10,"Watch","Clean")))</f>
        <v>Clean</v>
      </c>
    </row>
    <row r="28" customFormat="false" ht="15" hidden="false" customHeight="false" outlineLevel="0" collapsed="false">
      <c r="A28" s="0" t="n">
        <v>5027</v>
      </c>
      <c r="C28" s="0" t="str">
        <f aca="false">IF(COUNTIF(history!$B$2:$B$152,A28)=0,"",_xlfn.MAXIFS(history!$F$2:$F$152,history!$B$2:$B$152,A28))</f>
        <v/>
      </c>
      <c r="D28" s="0" t="str">
        <f aca="false">IF(C28="","No history",IF(C28&gt;=91,"Severe",IF(C28&gt;=10,"Watch","Clean")))</f>
        <v>No history</v>
      </c>
    </row>
    <row r="29" customFormat="false" ht="15" hidden="false" customHeight="false" outlineLevel="0" collapsed="false">
      <c r="A29" s="0" t="n">
        <v>5028</v>
      </c>
      <c r="B29" s="0" t="n">
        <v>687</v>
      </c>
      <c r="C29" s="0" t="n">
        <f aca="false">IF(COUNTIF(history!$B$2:$B$152,A29)=0,"",_xlfn.MAXIFS(history!$F$2:$F$152,history!$B$2:$B$152,A29))</f>
        <v>4</v>
      </c>
      <c r="D29" s="0" t="str">
        <f aca="false">IF(C29="","No history",IF(C29&gt;=91,"Severe",IF(C29&gt;=10,"Watch","Clean")))</f>
        <v>Clean</v>
      </c>
    </row>
    <row r="30" customFormat="false" ht="15" hidden="false" customHeight="false" outlineLevel="0" collapsed="false">
      <c r="A30" s="0" t="n">
        <v>5029</v>
      </c>
      <c r="C30" s="0" t="str">
        <f aca="false">IF(COUNTIF(history!$B$2:$B$152,A30)=0,"",_xlfn.MAXIFS(history!$F$2:$F$152,history!$B$2:$B$152,A30))</f>
        <v/>
      </c>
      <c r="D30" s="0" t="str">
        <f aca="false">IF(C30="","No history",IF(C30&gt;=91,"Severe",IF(C30&gt;=10,"Watch","Clean")))</f>
        <v>No history</v>
      </c>
    </row>
    <row r="31" customFormat="false" ht="15" hidden="false" customHeight="false" outlineLevel="0" collapsed="false">
      <c r="A31" s="0" t="n">
        <v>5030</v>
      </c>
      <c r="B31" s="0" t="n">
        <v>628</v>
      </c>
      <c r="C31" s="0" t="n">
        <f aca="false">IF(COUNTIF(history!$B$2:$B$152,A31)=0,"",_xlfn.MAXIFS(history!$F$2:$F$152,history!$B$2:$B$152,A31))</f>
        <v>72</v>
      </c>
      <c r="D31" s="0" t="str">
        <f aca="false">IF(C31="","No history",IF(C31&gt;=91,"Severe",IF(C31&gt;=10,"Watch","Clean")))</f>
        <v>Watch</v>
      </c>
    </row>
    <row r="32" customFormat="false" ht="15" hidden="false" customHeight="false" outlineLevel="0" collapsed="false">
      <c r="A32" s="0" t="n">
        <v>5031</v>
      </c>
      <c r="B32" s="0" t="n">
        <v>723</v>
      </c>
      <c r="C32" s="0" t="n">
        <f aca="false">IF(COUNTIF(history!$B$2:$B$152,A32)=0,"",_xlfn.MAXIFS(history!$F$2:$F$152,history!$B$2:$B$152,A32))</f>
        <v>8</v>
      </c>
      <c r="D32" s="0" t="str">
        <f aca="false">IF(C32="","No history",IF(C32&gt;=91,"Severe",IF(C32&gt;=10,"Watch","Clean")))</f>
        <v>Clean</v>
      </c>
    </row>
    <row r="33" customFormat="false" ht="15" hidden="false" customHeight="false" outlineLevel="0" collapsed="false">
      <c r="A33" s="0" t="n">
        <v>5032</v>
      </c>
      <c r="B33" s="0" t="n">
        <v>842</v>
      </c>
      <c r="C33" s="0" t="n">
        <f aca="false">IF(COUNTIF(history!$B$2:$B$152,A33)=0,"",_xlfn.MAXIFS(history!$F$2:$F$152,history!$B$2:$B$152,A33))</f>
        <v>8</v>
      </c>
      <c r="D33" s="0" t="str">
        <f aca="false">IF(C33="","No history",IF(C33&gt;=91,"Severe",IF(C33&gt;=10,"Watch","Clean")))</f>
        <v>Clean</v>
      </c>
    </row>
    <row r="34" customFormat="false" ht="15" hidden="false" customHeight="false" outlineLevel="0" collapsed="false">
      <c r="A34" s="0" t="n">
        <v>5033</v>
      </c>
      <c r="B34" s="0" t="n">
        <v>413</v>
      </c>
      <c r="C34" s="0" t="n">
        <f aca="false">IF(COUNTIF(history!$B$2:$B$152,A34)=0,"",_xlfn.MAXIFS(history!$F$2:$F$152,history!$B$2:$B$152,A34))</f>
        <v>339</v>
      </c>
      <c r="D34" s="0" t="str">
        <f aca="false">IF(C34="","No history",IF(C34&gt;=91,"Severe",IF(C34&gt;=10,"Watch","Clean")))</f>
        <v>Severe</v>
      </c>
    </row>
    <row r="35" customFormat="false" ht="15" hidden="false" customHeight="false" outlineLevel="0" collapsed="false">
      <c r="A35" s="0" t="n">
        <v>5034</v>
      </c>
      <c r="B35" s="0" t="n">
        <v>840</v>
      </c>
      <c r="C35" s="0" t="n">
        <f aca="false">IF(COUNTIF(history!$B$2:$B$152,A35)=0,"",_xlfn.MAXIFS(history!$F$2:$F$152,history!$B$2:$B$152,A35))</f>
        <v>7</v>
      </c>
      <c r="D35" s="0" t="str">
        <f aca="false">IF(C35="","No history",IF(C35&gt;=91,"Severe",IF(C35&gt;=10,"Watch","Clean")))</f>
        <v>Clean</v>
      </c>
    </row>
    <row r="36" customFormat="false" ht="15" hidden="false" customHeight="false" outlineLevel="0" collapsed="false">
      <c r="A36" s="0" t="n">
        <v>5035</v>
      </c>
      <c r="C36" s="0" t="str">
        <f aca="false">IF(COUNTIF(history!$B$2:$B$152,A36)=0,"",_xlfn.MAXIFS(history!$F$2:$F$152,history!$B$2:$B$152,A36))</f>
        <v/>
      </c>
      <c r="D36" s="0" t="str">
        <f aca="false">IF(C36="","No history",IF(C36&gt;=91,"Severe",IF(C36&gt;=10,"Watch","Clean")))</f>
        <v>No history</v>
      </c>
    </row>
    <row r="37" customFormat="false" ht="15" hidden="false" customHeight="false" outlineLevel="0" collapsed="false">
      <c r="A37" s="0" t="n">
        <v>5036</v>
      </c>
      <c r="B37" s="0" t="n">
        <v>562</v>
      </c>
      <c r="C37" s="0" t="n">
        <f aca="false">IF(COUNTIF(history!$B$2:$B$152,A37)=0,"",_xlfn.MAXIFS(history!$F$2:$F$152,history!$B$2:$B$152,A37))</f>
        <v>37</v>
      </c>
      <c r="D37" s="0" t="str">
        <f aca="false">IF(C37="","No history",IF(C37&gt;=91,"Severe",IF(C37&gt;=10,"Watch","Clean")))</f>
        <v>Watch</v>
      </c>
    </row>
    <row r="38" customFormat="false" ht="15" hidden="false" customHeight="false" outlineLevel="0" collapsed="false">
      <c r="A38" s="0" t="n">
        <v>5037</v>
      </c>
      <c r="B38" s="0" t="n">
        <v>600</v>
      </c>
      <c r="C38" s="0" t="n">
        <f aca="false">IF(COUNTIF(history!$B$2:$B$152,A38)=0,"",_xlfn.MAXIFS(history!$F$2:$F$152,history!$B$2:$B$152,A38))</f>
        <v>7</v>
      </c>
      <c r="D38" s="0" t="str">
        <f aca="false">IF(C38="","No history",IF(C38&gt;=91,"Severe",IF(C38&gt;=10,"Watch","Clean")))</f>
        <v>Clean</v>
      </c>
    </row>
    <row r="39" customFormat="false" ht="15" hidden="false" customHeight="false" outlineLevel="0" collapsed="false">
      <c r="A39" s="0" t="n">
        <v>5038</v>
      </c>
      <c r="B39" s="0" t="n">
        <v>818</v>
      </c>
      <c r="C39" s="0" t="n">
        <f aca="false">IF(COUNTIF(history!$B$2:$B$152,A39)=0,"",_xlfn.MAXIFS(history!$F$2:$F$152,history!$B$2:$B$152,A39))</f>
        <v>2</v>
      </c>
      <c r="D39" s="0" t="str">
        <f aca="false">IF(C39="","No history",IF(C39&gt;=91,"Severe",IF(C39&gt;=10,"Watch","Clean")))</f>
        <v>Clean</v>
      </c>
    </row>
    <row r="40" customFormat="false" ht="15" hidden="false" customHeight="false" outlineLevel="0" collapsed="false">
      <c r="A40" s="0" t="n">
        <v>5039</v>
      </c>
      <c r="B40" s="0" t="n">
        <v>612</v>
      </c>
      <c r="C40" s="0" t="n">
        <f aca="false">IF(COUNTIF(history!$B$2:$B$152,A40)=0,"",_xlfn.MAXIFS(history!$F$2:$F$152,history!$B$2:$B$152,A40))</f>
        <v>17</v>
      </c>
      <c r="D40" s="0" t="str">
        <f aca="false">IF(C40="","No history",IF(C40&gt;=91,"Severe",IF(C40&gt;=10,"Watch","Clean")))</f>
        <v>Watch</v>
      </c>
    </row>
    <row r="41" customFormat="false" ht="15" hidden="false" customHeight="false" outlineLevel="0" collapsed="false">
      <c r="A41" s="0" t="n">
        <v>5040</v>
      </c>
      <c r="C41" s="0" t="str">
        <f aca="false">IF(COUNTIF(history!$B$2:$B$152,A41)=0,"",_xlfn.MAXIFS(history!$F$2:$F$152,history!$B$2:$B$152,A41))</f>
        <v/>
      </c>
      <c r="D41" s="0" t="str">
        <f aca="false">IF(C41="","No history",IF(C41&gt;=91,"Severe",IF(C41&gt;=10,"Watch","Clean")))</f>
        <v>No history</v>
      </c>
    </row>
    <row r="42" customFormat="false" ht="15" hidden="false" customHeight="false" outlineLevel="0" collapsed="false">
      <c r="A42" s="0" t="n">
        <v>5041</v>
      </c>
      <c r="B42" s="0" t="n">
        <v>778</v>
      </c>
      <c r="C42" s="0" t="n">
        <f aca="false">IF(COUNTIF(history!$B$2:$B$152,A42)=0,"",_xlfn.MAXIFS(history!$F$2:$F$152,history!$B$2:$B$152,A42))</f>
        <v>9</v>
      </c>
      <c r="D42" s="0" t="str">
        <f aca="false">IF(C42="","No history",IF(C42&gt;=91,"Severe",IF(C42&gt;=10,"Watch","Clean")))</f>
        <v>Clean</v>
      </c>
    </row>
    <row r="43" customFormat="false" ht="15" hidden="false" customHeight="false" outlineLevel="0" collapsed="false">
      <c r="A43" s="0" t="n">
        <v>5042</v>
      </c>
      <c r="B43" s="0" t="n">
        <v>552</v>
      </c>
      <c r="C43" s="0" t="n">
        <f aca="false">IF(COUNTIF(history!$B$2:$B$152,A43)=0,"",_xlfn.MAXIFS(history!$F$2:$F$152,history!$B$2:$B$152,A43))</f>
        <v>45</v>
      </c>
      <c r="D43" s="0" t="str">
        <f aca="false">IF(C43="","No history",IF(C43&gt;=91,"Severe",IF(C43&gt;=10,"Watch","Clean")))</f>
        <v>Watch</v>
      </c>
    </row>
    <row r="44" customFormat="false" ht="15" hidden="false" customHeight="false" outlineLevel="0" collapsed="false">
      <c r="A44" s="0" t="n">
        <v>5043</v>
      </c>
      <c r="C44" s="0" t="str">
        <f aca="false">IF(COUNTIF(history!$B$2:$B$152,A44)=0,"",_xlfn.MAXIFS(history!$F$2:$F$152,history!$B$2:$B$152,A44))</f>
        <v/>
      </c>
      <c r="D44" s="0" t="str">
        <f aca="false">IF(C44="","No history",IF(C44&gt;=91,"Severe",IF(C44&gt;=10,"Watch","Clean")))</f>
        <v>No history</v>
      </c>
    </row>
    <row r="45" customFormat="false" ht="15" hidden="false" customHeight="false" outlineLevel="0" collapsed="false">
      <c r="A45" s="0" t="n">
        <v>5044</v>
      </c>
      <c r="B45" s="0" t="n">
        <v>512</v>
      </c>
      <c r="C45" s="0" t="n">
        <f aca="false">IF(COUNTIF(history!$B$2:$B$152,A45)=0,"",_xlfn.MAXIFS(history!$F$2:$F$152,history!$B$2:$B$152,A45))</f>
        <v>11</v>
      </c>
      <c r="D45" s="0" t="str">
        <f aca="false">IF(C45="","No history",IF(C45&gt;=91,"Severe",IF(C45&gt;=10,"Watch","Clean")))</f>
        <v>Watch</v>
      </c>
    </row>
    <row r="46" customFormat="false" ht="15" hidden="false" customHeight="false" outlineLevel="0" collapsed="false">
      <c r="A46" s="0" t="n">
        <v>5045</v>
      </c>
      <c r="B46" s="0" t="n">
        <v>671</v>
      </c>
      <c r="C46" s="0" t="n">
        <f aca="false">IF(COUNTIF(history!$B$2:$B$152,A46)=0,"",_xlfn.MAXIFS(history!$F$2:$F$152,history!$B$2:$B$152,A46))</f>
        <v>40</v>
      </c>
      <c r="D46" s="0" t="str">
        <f aca="false">IF(C46="","No history",IF(C46&gt;=91,"Severe",IF(C46&gt;=10,"Watch","Clean")))</f>
        <v>Watch</v>
      </c>
    </row>
    <row r="47" customFormat="false" ht="15" hidden="false" customHeight="false" outlineLevel="0" collapsed="false">
      <c r="A47" s="0" t="n">
        <v>5046</v>
      </c>
      <c r="B47" s="0" t="n">
        <v>717</v>
      </c>
      <c r="C47" s="0" t="n">
        <f aca="false">IF(COUNTIF(history!$B$2:$B$152,A47)=0,"",_xlfn.MAXIFS(history!$F$2:$F$152,history!$B$2:$B$152,A47))</f>
        <v>9</v>
      </c>
      <c r="D47" s="0" t="str">
        <f aca="false">IF(C47="","No history",IF(C47&gt;=91,"Severe",IF(C47&gt;=10,"Watch","Clean")))</f>
        <v>Clean</v>
      </c>
    </row>
    <row r="48" customFormat="false" ht="15" hidden="false" customHeight="false" outlineLevel="0" collapsed="false">
      <c r="A48" s="0" t="n">
        <v>5047</v>
      </c>
      <c r="B48" s="0" t="n">
        <v>593</v>
      </c>
      <c r="C48" s="0" t="n">
        <f aca="false">IF(COUNTIF(history!$B$2:$B$152,A48)=0,"",_xlfn.MAXIFS(history!$F$2:$F$152,history!$B$2:$B$152,A48))</f>
        <v>4</v>
      </c>
      <c r="D48" s="0" t="str">
        <f aca="false">IF(C48="","No history",IF(C48&gt;=91,"Severe",IF(C48&gt;=10,"Watch","Clean")))</f>
        <v>Clean</v>
      </c>
    </row>
    <row r="49" customFormat="false" ht="15" hidden="false" customHeight="false" outlineLevel="0" collapsed="false">
      <c r="A49" s="0" t="n">
        <v>5048</v>
      </c>
      <c r="B49" s="0" t="n">
        <v>592</v>
      </c>
      <c r="C49" s="0" t="n">
        <f aca="false">IF(COUNTIF(history!$B$2:$B$152,A49)=0,"",_xlfn.MAXIFS(history!$F$2:$F$152,history!$B$2:$B$152,A49))</f>
        <v>57</v>
      </c>
      <c r="D49" s="0" t="str">
        <f aca="false">IF(C49="","No history",IF(C49&gt;=91,"Severe",IF(C49&gt;=10,"Watch","Clean")))</f>
        <v>Watch</v>
      </c>
    </row>
    <row r="50" customFormat="false" ht="15" hidden="false" customHeight="false" outlineLevel="0" collapsed="false">
      <c r="A50" s="0" t="n">
        <v>5049</v>
      </c>
      <c r="B50" s="0" t="n">
        <v>570</v>
      </c>
      <c r="C50" s="0" t="n">
        <f aca="false">IF(COUNTIF(history!$B$2:$B$152,A50)=0,"",_xlfn.MAXIFS(history!$F$2:$F$152,history!$B$2:$B$152,A50))</f>
        <v>13</v>
      </c>
      <c r="D50" s="0" t="str">
        <f aca="false">IF(C50="","No history",IF(C50&gt;=91,"Severe",IF(C50&gt;=10,"Watch","Clean")))</f>
        <v>Watch</v>
      </c>
    </row>
    <row r="51" customFormat="false" ht="15" hidden="false" customHeight="false" outlineLevel="0" collapsed="false">
      <c r="A51" s="0" t="n">
        <v>5050</v>
      </c>
      <c r="B51" s="0" t="n">
        <v>672</v>
      </c>
      <c r="C51" s="0" t="n">
        <f aca="false">IF(COUNTIF(history!$B$2:$B$152,A51)=0,"",_xlfn.MAXIFS(history!$F$2:$F$152,history!$B$2:$B$152,A51))</f>
        <v>7</v>
      </c>
      <c r="D51" s="0" t="str">
        <f aca="false">IF(C51="","No history",IF(C51&gt;=91,"Severe",IF(C51&gt;=10,"Watch","Clean")))</f>
        <v>Clean</v>
      </c>
    </row>
    <row r="52" customFormat="false" ht="15" hidden="false" customHeight="false" outlineLevel="0" collapsed="false">
      <c r="A52" s="0" t="n">
        <v>5051</v>
      </c>
      <c r="B52" s="0" t="n">
        <v>700</v>
      </c>
      <c r="C52" s="0" t="n">
        <f aca="false">IF(COUNTIF(history!$B$2:$B$152,A52)=0,"",_xlfn.MAXIFS(history!$F$2:$F$152,history!$B$2:$B$152,A52))</f>
        <v>8</v>
      </c>
      <c r="D52" s="0" t="str">
        <f aca="false">IF(C52="","No history",IF(C52&gt;=91,"Severe",IF(C52&gt;=10,"Watch","Clean")))</f>
        <v>Clean</v>
      </c>
    </row>
    <row r="53" customFormat="false" ht="15" hidden="false" customHeight="false" outlineLevel="0" collapsed="false">
      <c r="A53" s="0" t="n">
        <v>5052</v>
      </c>
      <c r="C53" s="0" t="str">
        <f aca="false">IF(COUNTIF(history!$B$2:$B$152,A53)=0,"",_xlfn.MAXIFS(history!$F$2:$F$152,history!$B$2:$B$152,A53))</f>
        <v/>
      </c>
      <c r="D53" s="0" t="str">
        <f aca="false">IF(C53="","No history",IF(C53&gt;=91,"Severe",IF(C53&gt;=10,"Watch","Clean")))</f>
        <v>No history</v>
      </c>
    </row>
    <row r="54" customFormat="false" ht="15" hidden="false" customHeight="false" outlineLevel="0" collapsed="false">
      <c r="A54" s="0" t="n">
        <v>5053</v>
      </c>
      <c r="B54" s="0" t="n">
        <v>431</v>
      </c>
      <c r="C54" s="0" t="n">
        <f aca="false">IF(COUNTIF(history!$B$2:$B$152,A54)=0,"",_xlfn.MAXIFS(history!$F$2:$F$152,history!$B$2:$B$152,A54))</f>
        <v>109</v>
      </c>
      <c r="D54" s="0" t="str">
        <f aca="false">IF(C54="","No history",IF(C54&gt;=91,"Severe",IF(C54&gt;=10,"Watch","Clean")))</f>
        <v>Severe</v>
      </c>
    </row>
    <row r="55" customFormat="false" ht="15" hidden="false" customHeight="false" outlineLevel="0" collapsed="false">
      <c r="A55" s="0" t="n">
        <v>5054</v>
      </c>
      <c r="B55" s="0" t="n">
        <v>321</v>
      </c>
      <c r="C55" s="0" t="n">
        <f aca="false">IF(COUNTIF(history!$B$2:$B$152,A55)=0,"",_xlfn.MAXIFS(history!$F$2:$F$152,history!$B$2:$B$152,A55))</f>
        <v>264</v>
      </c>
      <c r="D55" s="0" t="str">
        <f aca="false">IF(C55="","No history",IF(C55&gt;=91,"Severe",IF(C55&gt;=10,"Watch","Clean")))</f>
        <v>Severe</v>
      </c>
    </row>
    <row r="56" customFormat="false" ht="15" hidden="false" customHeight="false" outlineLevel="0" collapsed="false">
      <c r="A56" s="0" t="n">
        <v>5055</v>
      </c>
      <c r="C56" s="0" t="str">
        <f aca="false">IF(COUNTIF(history!$B$2:$B$152,A56)=0,"",_xlfn.MAXIFS(history!$F$2:$F$152,history!$B$2:$B$152,A56))</f>
        <v/>
      </c>
      <c r="D56" s="0" t="str">
        <f aca="false">IF(C56="","No history",IF(C56&gt;=91,"Severe",IF(C56&gt;=10,"Watch","Clean")))</f>
        <v>No history</v>
      </c>
    </row>
    <row r="57" customFormat="false" ht="15" hidden="false" customHeight="false" outlineLevel="0" collapsed="false">
      <c r="A57" s="0" t="n">
        <v>5056</v>
      </c>
      <c r="B57" s="0" t="n">
        <v>567</v>
      </c>
      <c r="C57" s="0" t="n">
        <f aca="false">IF(COUNTIF(history!$B$2:$B$152,A57)=0,"",_xlfn.MAXIFS(history!$F$2:$F$152,history!$B$2:$B$152,A57))</f>
        <v>6</v>
      </c>
      <c r="D57" s="0" t="str">
        <f aca="false">IF(C57="","No history",IF(C57&gt;=91,"Severe",IF(C57&gt;=10,"Watch","Clean")))</f>
        <v>Clean</v>
      </c>
    </row>
    <row r="58" customFormat="false" ht="15" hidden="false" customHeight="false" outlineLevel="0" collapsed="false">
      <c r="A58" s="0" t="n">
        <v>5057</v>
      </c>
      <c r="B58" s="0" t="n">
        <v>500</v>
      </c>
      <c r="C58" s="0" t="n">
        <f aca="false">IF(COUNTIF(history!$B$2:$B$152,A58)=0,"",_xlfn.MAXIFS(history!$F$2:$F$152,history!$B$2:$B$152,A58))</f>
        <v>9</v>
      </c>
      <c r="D58" s="0" t="str">
        <f aca="false">IF(C58="","No history",IF(C58&gt;=91,"Severe",IF(C58&gt;=10,"Watch","Clean")))</f>
        <v>Clean</v>
      </c>
    </row>
    <row r="59" customFormat="false" ht="15" hidden="false" customHeight="false" outlineLevel="0" collapsed="false">
      <c r="A59" s="0" t="n">
        <v>5058</v>
      </c>
      <c r="B59" s="0" t="n">
        <v>726</v>
      </c>
      <c r="C59" s="0" t="n">
        <f aca="false">IF(COUNTIF(history!$B$2:$B$152,A59)=0,"",_xlfn.MAXIFS(history!$F$2:$F$152,history!$B$2:$B$152,A59))</f>
        <v>5</v>
      </c>
      <c r="D59" s="0" t="str">
        <f aca="false">IF(C59="","No history",IF(C59&gt;=91,"Severe",IF(C59&gt;=10,"Watch","Clean")))</f>
        <v>Clean</v>
      </c>
    </row>
    <row r="60" customFormat="false" ht="15" hidden="false" customHeight="false" outlineLevel="0" collapsed="false">
      <c r="A60" s="0" t="n">
        <v>5059</v>
      </c>
      <c r="B60" s="0" t="n">
        <v>329</v>
      </c>
      <c r="C60" s="0" t="n">
        <f aca="false">IF(COUNTIF(history!$B$2:$B$152,A60)=0,"",_xlfn.MAXIFS(history!$F$2:$F$152,history!$B$2:$B$152,A60))</f>
        <v>155</v>
      </c>
      <c r="D60" s="0" t="str">
        <f aca="false">IF(C60="","No history",IF(C60&gt;=91,"Severe",IF(C60&gt;=10,"Watch","Clean")))</f>
        <v>Severe</v>
      </c>
    </row>
    <row r="61" customFormat="false" ht="15" hidden="false" customHeight="false" outlineLevel="0" collapsed="false">
      <c r="A61" s="0" t="n">
        <v>5060</v>
      </c>
      <c r="B61" s="0" t="n">
        <v>796</v>
      </c>
      <c r="C61" s="0" t="n">
        <f aca="false">IF(COUNTIF(history!$B$2:$B$152,A61)=0,"",_xlfn.MAXIFS(history!$F$2:$F$152,history!$B$2:$B$152,A61))</f>
        <v>7</v>
      </c>
      <c r="D61" s="0" t="str">
        <f aca="false">IF(C61="","No history",IF(C61&gt;=91,"Severe",IF(C61&gt;=10,"Watch","Clean")))</f>
        <v>Clean</v>
      </c>
    </row>
    <row r="62" customFormat="false" ht="15" hidden="false" customHeight="false" outlineLevel="0" collapsed="false">
      <c r="A62" s="0" t="n">
        <v>5061</v>
      </c>
      <c r="B62" s="0" t="n">
        <v>650</v>
      </c>
      <c r="C62" s="0" t="n">
        <f aca="false">IF(COUNTIF(history!$B$2:$B$152,A62)=0,"",_xlfn.MAXIFS(history!$F$2:$F$152,history!$B$2:$B$152,A62))</f>
        <v>90</v>
      </c>
      <c r="D62" s="0" t="str">
        <f aca="false">IF(C62="","No history",IF(C62&gt;=91,"Severe",IF(C62&gt;=10,"Watch","Clean")))</f>
        <v>Watch</v>
      </c>
    </row>
    <row r="63" customFormat="false" ht="15" hidden="false" customHeight="false" outlineLevel="0" collapsed="false">
      <c r="A63" s="0" t="n">
        <v>5062</v>
      </c>
      <c r="B63" s="0" t="n">
        <v>765</v>
      </c>
      <c r="C63" s="0" t="n">
        <f aca="false">IF(COUNTIF(history!$B$2:$B$152,A63)=0,"",_xlfn.MAXIFS(history!$F$2:$F$152,history!$B$2:$B$152,A63))</f>
        <v>5</v>
      </c>
      <c r="D63" s="0" t="str">
        <f aca="false">IF(C63="","No history",IF(C63&gt;=91,"Severe",IF(C63&gt;=10,"Watch","Clean")))</f>
        <v>Clean</v>
      </c>
    </row>
    <row r="64" customFormat="false" ht="15" hidden="false" customHeight="false" outlineLevel="0" collapsed="false">
      <c r="A64" s="0" t="n">
        <v>5063</v>
      </c>
      <c r="B64" s="0" t="n">
        <v>719</v>
      </c>
      <c r="C64" s="0" t="n">
        <f aca="false">IF(COUNTIF(history!$B$2:$B$152,A64)=0,"",_xlfn.MAXIFS(history!$F$2:$F$152,history!$B$2:$B$152,A64))</f>
        <v>8</v>
      </c>
      <c r="D64" s="0" t="str">
        <f aca="false">IF(C64="","No history",IF(C64&gt;=91,"Severe",IF(C64&gt;=10,"Watch","Clean")))</f>
        <v>Clean</v>
      </c>
    </row>
    <row r="65" customFormat="false" ht="15" hidden="false" customHeight="false" outlineLevel="0" collapsed="false">
      <c r="A65" s="0" t="n">
        <v>5064</v>
      </c>
      <c r="B65" s="0" t="n">
        <v>803</v>
      </c>
      <c r="C65" s="0" t="n">
        <f aca="false">IF(COUNTIF(history!$B$2:$B$152,A65)=0,"",_xlfn.MAXIFS(history!$F$2:$F$152,history!$B$2:$B$152,A65))</f>
        <v>7</v>
      </c>
      <c r="D65" s="0" t="str">
        <f aca="false">IF(C65="","No history",IF(C65&gt;=91,"Severe",IF(C65&gt;=10,"Watch","Clean")))</f>
        <v>Clean</v>
      </c>
    </row>
    <row r="66" customFormat="false" ht="15" hidden="false" customHeight="false" outlineLevel="0" collapsed="false">
      <c r="A66" s="0" t="n">
        <v>5065</v>
      </c>
      <c r="C66" s="0" t="str">
        <f aca="false">IF(COUNTIF(history!$B$2:$B$152,A66)=0,"",_xlfn.MAXIFS(history!$F$2:$F$152,history!$B$2:$B$152,A66))</f>
        <v/>
      </c>
      <c r="D66" s="0" t="str">
        <f aca="false">IF(C66="","No history",IF(C66&gt;=91,"Severe",IF(C66&gt;=10,"Watch","Clean")))</f>
        <v>No history</v>
      </c>
    </row>
    <row r="67" customFormat="false" ht="15" hidden="false" customHeight="false" outlineLevel="0" collapsed="false">
      <c r="A67" s="0" t="n">
        <v>5066</v>
      </c>
      <c r="B67" s="0" t="n">
        <v>659</v>
      </c>
      <c r="C67" s="0" t="n">
        <f aca="false">IF(COUNTIF(history!$B$2:$B$152,A67)=0,"",_xlfn.MAXIFS(history!$F$2:$F$152,history!$B$2:$B$152,A67))</f>
        <v>4</v>
      </c>
      <c r="D67" s="0" t="str">
        <f aca="false">IF(C67="","No history",IF(C67&gt;=91,"Severe",IF(C67&gt;=10,"Watch","Clean")))</f>
        <v>Clean</v>
      </c>
    </row>
    <row r="68" customFormat="false" ht="15" hidden="false" customHeight="false" outlineLevel="0" collapsed="false">
      <c r="A68" s="0" t="n">
        <v>5067</v>
      </c>
      <c r="B68" s="0" t="n">
        <v>710</v>
      </c>
      <c r="C68" s="0" t="n">
        <f aca="false">IF(COUNTIF(history!$B$2:$B$152,A68)=0,"",_xlfn.MAXIFS(history!$F$2:$F$152,history!$B$2:$B$152,A68))</f>
        <v>9</v>
      </c>
      <c r="D68" s="0" t="str">
        <f aca="false">IF(C68="","No history",IF(C68&gt;=91,"Severe",IF(C68&gt;=10,"Watch","Clean")))</f>
        <v>Clean</v>
      </c>
    </row>
    <row r="69" customFormat="false" ht="15" hidden="false" customHeight="false" outlineLevel="0" collapsed="false">
      <c r="A69" s="0" t="n">
        <v>5068</v>
      </c>
      <c r="B69" s="0" t="n">
        <v>770</v>
      </c>
      <c r="C69" s="0" t="n">
        <f aca="false">IF(COUNTIF(history!$B$2:$B$152,A69)=0,"",_xlfn.MAXIFS(history!$F$2:$F$152,history!$B$2:$B$152,A69))</f>
        <v>7</v>
      </c>
      <c r="D69" s="0" t="str">
        <f aca="false">IF(C69="","No history",IF(C69&gt;=91,"Severe",IF(C69&gt;=10,"Watch","Clean")))</f>
        <v>Clean</v>
      </c>
    </row>
    <row r="70" customFormat="false" ht="15" hidden="false" customHeight="false" outlineLevel="0" collapsed="false">
      <c r="A70" s="0" t="n">
        <v>5069</v>
      </c>
      <c r="B70" s="0" t="n">
        <v>817</v>
      </c>
      <c r="C70" s="0" t="n">
        <f aca="false">IF(COUNTIF(history!$B$2:$B$152,A70)=0,"",_xlfn.MAXIFS(history!$F$2:$F$152,history!$B$2:$B$152,A70))</f>
        <v>8</v>
      </c>
      <c r="D70" s="0" t="str">
        <f aca="false">IF(C70="","No history",IF(C70&gt;=91,"Severe",IF(C70&gt;=10,"Watch","Clean")))</f>
        <v>Clean</v>
      </c>
    </row>
    <row r="71" customFormat="false" ht="15" hidden="false" customHeight="false" outlineLevel="0" collapsed="false">
      <c r="A71" s="0" t="n">
        <v>5070</v>
      </c>
      <c r="B71" s="0" t="n">
        <v>424</v>
      </c>
      <c r="C71" s="0" t="n">
        <f aca="false">IF(COUNTIF(history!$B$2:$B$152,A71)=0,"",_xlfn.MAXIFS(history!$F$2:$F$152,history!$B$2:$B$152,A71))</f>
        <v>244</v>
      </c>
      <c r="D71" s="0" t="str">
        <f aca="false">IF(C71="","No history",IF(C71&gt;=91,"Severe",IF(C71&gt;=10,"Watch","Clean")))</f>
        <v>Severe</v>
      </c>
    </row>
    <row r="72" customFormat="false" ht="15" hidden="false" customHeight="false" outlineLevel="0" collapsed="false">
      <c r="A72" s="0" t="n">
        <v>5071</v>
      </c>
      <c r="B72" s="0" t="n">
        <v>719</v>
      </c>
      <c r="C72" s="0" t="n">
        <f aca="false">IF(COUNTIF(history!$B$2:$B$152,A72)=0,"",_xlfn.MAXIFS(history!$F$2:$F$152,history!$B$2:$B$152,A72))</f>
        <v>7</v>
      </c>
      <c r="D72" s="0" t="str">
        <f aca="false">IF(C72="","No history",IF(C72&gt;=91,"Severe",IF(C72&gt;=10,"Watch","Clean")))</f>
        <v>Clean</v>
      </c>
    </row>
    <row r="73" customFormat="false" ht="15" hidden="false" customHeight="false" outlineLevel="0" collapsed="false">
      <c r="A73" s="0" t="n">
        <v>5072</v>
      </c>
      <c r="B73" s="0" t="n">
        <v>653</v>
      </c>
      <c r="C73" s="0" t="n">
        <f aca="false">IF(COUNTIF(history!$B$2:$B$152,A73)=0,"",_xlfn.MAXIFS(history!$F$2:$F$152,history!$B$2:$B$152,A73))</f>
        <v>8</v>
      </c>
      <c r="D73" s="0" t="str">
        <f aca="false">IF(C73="","No history",IF(C73&gt;=91,"Severe",IF(C73&gt;=10,"Watch","Clean")))</f>
        <v>Clean</v>
      </c>
    </row>
    <row r="74" customFormat="false" ht="15" hidden="false" customHeight="false" outlineLevel="0" collapsed="false">
      <c r="A74" s="0" t="n">
        <v>5073</v>
      </c>
      <c r="C74" s="0" t="str">
        <f aca="false">IF(COUNTIF(history!$B$2:$B$152,A74)=0,"",_xlfn.MAXIFS(history!$F$2:$F$152,history!$B$2:$B$152,A74))</f>
        <v/>
      </c>
      <c r="D74" s="0" t="str">
        <f aca="false">IF(C74="","No history",IF(C74&gt;=91,"Severe",IF(C74&gt;=10,"Watch","Clean")))</f>
        <v>No history</v>
      </c>
    </row>
    <row r="75" customFormat="false" ht="15" hidden="false" customHeight="false" outlineLevel="0" collapsed="false">
      <c r="A75" s="0" t="n">
        <v>5074</v>
      </c>
      <c r="B75" s="0" t="n">
        <v>711</v>
      </c>
      <c r="C75" s="0" t="n">
        <f aca="false">IF(COUNTIF(history!$B$2:$B$152,A75)=0,"",_xlfn.MAXIFS(history!$F$2:$F$152,history!$B$2:$B$152,A75))</f>
        <v>9</v>
      </c>
      <c r="D75" s="0" t="str">
        <f aca="false">IF(C75="","No history",IF(C75&gt;=91,"Severe",IF(C75&gt;=10,"Watch","Clean")))</f>
        <v>Clean</v>
      </c>
    </row>
    <row r="76" customFormat="false" ht="15" hidden="false" customHeight="false" outlineLevel="0" collapsed="false">
      <c r="A76" s="0" t="n">
        <v>5075</v>
      </c>
      <c r="B76" s="0" t="n">
        <v>704</v>
      </c>
      <c r="C76" s="0" t="n">
        <f aca="false">IF(COUNTIF(history!$B$2:$B$152,A76)=0,"",_xlfn.MAXIFS(history!$F$2:$F$152,history!$B$2:$B$152,A76))</f>
        <v>8</v>
      </c>
      <c r="D76" s="0" t="str">
        <f aca="false">IF(C76="","No history",IF(C76&gt;=91,"Severe",IF(C76&gt;=10,"Watch","Clean")))</f>
        <v>Clean</v>
      </c>
    </row>
    <row r="77" customFormat="false" ht="15" hidden="false" customHeight="false" outlineLevel="0" collapsed="false">
      <c r="A77" s="0" t="n">
        <v>5076</v>
      </c>
      <c r="B77" s="0" t="n">
        <v>775</v>
      </c>
      <c r="C77" s="0" t="n">
        <f aca="false">IF(COUNTIF(history!$B$2:$B$152,A77)=0,"",_xlfn.MAXIFS(history!$F$2:$F$152,history!$B$2:$B$152,A77))</f>
        <v>8</v>
      </c>
      <c r="D77" s="0" t="str">
        <f aca="false">IF(C77="","No history",IF(C77&gt;=91,"Severe",IF(C77&gt;=10,"Watch","Clean")))</f>
        <v>Clean</v>
      </c>
    </row>
    <row r="78" customFormat="false" ht="15" hidden="false" customHeight="false" outlineLevel="0" collapsed="false">
      <c r="A78" s="0" t="n">
        <v>5077</v>
      </c>
      <c r="B78" s="0" t="n">
        <v>400</v>
      </c>
      <c r="C78" s="0" t="n">
        <f aca="false">IF(COUNTIF(history!$B$2:$B$152,A78)=0,"",_xlfn.MAXIFS(history!$F$2:$F$152,history!$B$2:$B$152,A78))</f>
        <v>10</v>
      </c>
      <c r="D78" s="0" t="str">
        <f aca="false">IF(C78="","No history",IF(C78&gt;=91,"Severe",IF(C78&gt;=10,"Watch","Clean")))</f>
        <v>Watch</v>
      </c>
    </row>
    <row r="79" customFormat="false" ht="15" hidden="false" customHeight="false" outlineLevel="0" collapsed="false">
      <c r="A79" s="0" t="n">
        <v>5078</v>
      </c>
      <c r="B79" s="0" t="n">
        <v>608</v>
      </c>
      <c r="C79" s="0" t="n">
        <f aca="false">IF(COUNTIF(history!$B$2:$B$152,A79)=0,"",_xlfn.MAXIFS(history!$F$2:$F$152,history!$B$2:$B$152,A79))</f>
        <v>32</v>
      </c>
      <c r="D79" s="0" t="str">
        <f aca="false">IF(C79="","No history",IF(C79&gt;=91,"Severe",IF(C79&gt;=10,"Watch","Clean")))</f>
        <v>Watch</v>
      </c>
    </row>
    <row r="80" customFormat="false" ht="15" hidden="false" customHeight="false" outlineLevel="0" collapsed="false">
      <c r="A80" s="0" t="n">
        <v>5079</v>
      </c>
      <c r="B80" s="0" t="n">
        <v>713</v>
      </c>
      <c r="C80" s="0" t="n">
        <f aca="false">IF(COUNTIF(history!$B$2:$B$152,A80)=0,"",_xlfn.MAXIFS(history!$F$2:$F$152,history!$B$2:$B$152,A80))</f>
        <v>7</v>
      </c>
      <c r="D80" s="0" t="str">
        <f aca="false">IF(C80="","No history",IF(C80&gt;=91,"Severe",IF(C80&gt;=10,"Watch","Clean")))</f>
        <v>Clean</v>
      </c>
    </row>
    <row r="81" customFormat="false" ht="15" hidden="false" customHeight="false" outlineLevel="0" collapsed="false">
      <c r="A81" s="0" t="n">
        <v>5080</v>
      </c>
      <c r="C81" s="0" t="str">
        <f aca="false">IF(COUNTIF(history!$B$2:$B$152,A81)=0,"",_xlfn.MAXIFS(history!$F$2:$F$152,history!$B$2:$B$152,A81))</f>
        <v/>
      </c>
      <c r="D81" s="0" t="str">
        <f aca="false">IF(C81="","No history",IF(C81&gt;=91,"Severe",IF(C81&gt;=10,"Watch","Clean")))</f>
        <v>No history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7"/>
  </cols>
  <sheetData>
    <row r="1" customFormat="false" ht="15" hidden="false" customHeight="false" outlineLevel="0" collapsed="false">
      <c r="A1" s="2" t="s">
        <v>4</v>
      </c>
      <c r="B1" s="2" t="s">
        <v>7</v>
      </c>
      <c r="C1" s="2" t="s">
        <v>5</v>
      </c>
      <c r="D1" s="2" t="s">
        <v>43</v>
      </c>
      <c r="E1" s="2"/>
      <c r="F1" s="2" t="s">
        <v>22</v>
      </c>
      <c r="G1" s="2" t="s">
        <v>50</v>
      </c>
      <c r="H1" s="2" t="s">
        <v>51</v>
      </c>
    </row>
    <row r="2" customFormat="false" ht="15" hidden="false" customHeight="false" outlineLevel="0" collapsed="false">
      <c r="A2" s="0" t="n">
        <v>5001</v>
      </c>
      <c r="B2" s="0" t="n">
        <v>426</v>
      </c>
      <c r="C2" s="0" t="n">
        <v>17500000</v>
      </c>
      <c r="D2" s="0" t="n">
        <v>262</v>
      </c>
      <c r="F2" s="0" t="n">
        <v>1</v>
      </c>
      <c r="G2" s="0" t="str">
        <f aca="false">INDEX(products!$B$2:$B$5,F2)</f>
        <v>Prime</v>
      </c>
      <c r="H2" s="0" t="n">
        <f aca="false">COUNTIFS($B$2:$B$81,"&gt;="&amp;INDEX(products!$C$2:$C$5,F2),$C$2:$C$81,"&gt;="&amp;INDEX(products!$D$2:$D$5,F2),$D$2:$D$81,"&lt;=90")+INDEX(products!$I$2:$I$5,F2)*(COUNTIFS($C$2:$C$81,"&gt;="&amp;INDEX(products!$D$2:$D$5,F2),$D$2:$D$81,"&lt;=90")-COUNTIFS($B$2:$B$81,"&gt;=0",$C$2:$C$81,"&gt;="&amp;INDEX(products!$D$2:$D$5,F2),$D$2:$D$81,"&lt;=90"))</f>
        <v>10</v>
      </c>
    </row>
    <row r="3" customFormat="false" ht="15" hidden="false" customHeight="false" outlineLevel="0" collapsed="false">
      <c r="A3" s="0" t="n">
        <v>5002</v>
      </c>
      <c r="B3" s="0" t="n">
        <v>799</v>
      </c>
      <c r="C3" s="0" t="n">
        <v>11000000</v>
      </c>
      <c r="D3" s="0" t="n">
        <v>7</v>
      </c>
      <c r="F3" s="0" t="n">
        <v>2</v>
      </c>
      <c r="G3" s="0" t="str">
        <f aca="false">INDEX(products!$B$2:$B$5,F3)</f>
        <v>Standard</v>
      </c>
      <c r="H3" s="0" t="n">
        <f aca="false">COUNTIFS($B$2:$B$81,"&gt;="&amp;INDEX(products!$C$2:$C$5,F3),$C$2:$C$81,"&gt;="&amp;INDEX(products!$D$2:$D$5,F3),$D$2:$D$81,"&lt;=90")+INDEX(products!$I$2:$I$5,F3)*(COUNTIFS($C$2:$C$81,"&gt;="&amp;INDEX(products!$D$2:$D$5,F3),$D$2:$D$81,"&lt;=90")-COUNTIFS($B$2:$B$81,"&gt;=0",$C$2:$C$81,"&gt;="&amp;INDEX(products!$D$2:$D$5,F3),$D$2:$D$81,"&lt;=90"))</f>
        <v>26</v>
      </c>
    </row>
    <row r="4" customFormat="false" ht="15" hidden="false" customHeight="false" outlineLevel="0" collapsed="false">
      <c r="A4" s="0" t="n">
        <v>5003</v>
      </c>
      <c r="C4" s="0" t="n">
        <v>7000000</v>
      </c>
      <c r="D4" s="0" t="n">
        <v>0</v>
      </c>
      <c r="F4" s="0" t="n">
        <v>3</v>
      </c>
      <c r="G4" s="0" t="str">
        <f aca="false">INDEX(products!$B$2:$B$5,F4)</f>
        <v>Starter</v>
      </c>
      <c r="H4" s="0" t="n">
        <f aca="false">COUNTIFS($B$2:$B$81,"&gt;="&amp;INDEX(products!$C$2:$C$5,F4),$C$2:$C$81,"&gt;="&amp;INDEX(products!$D$2:$D$5,F4),$D$2:$D$81,"&lt;=90")+INDEX(products!$I$2:$I$5,F4)*(COUNTIFS($C$2:$C$81,"&gt;="&amp;INDEX(products!$D$2:$D$5,F4),$D$2:$D$81,"&lt;=90")-COUNTIFS($B$2:$B$81,"&gt;=0",$C$2:$C$81,"&gt;="&amp;INDEX(products!$D$2:$D$5,F4),$D$2:$D$81,"&lt;=90"))</f>
        <v>47</v>
      </c>
    </row>
    <row r="5" customFormat="false" ht="15" hidden="false" customHeight="false" outlineLevel="0" collapsed="false">
      <c r="A5" s="0" t="n">
        <v>5004</v>
      </c>
      <c r="B5" s="0" t="n">
        <v>710</v>
      </c>
      <c r="C5" s="0" t="n">
        <v>20000000</v>
      </c>
      <c r="D5" s="0" t="n">
        <v>91</v>
      </c>
      <c r="F5" s="0" t="n">
        <v>4</v>
      </c>
      <c r="G5" s="0" t="str">
        <f aca="false">INDEX(products!$B$2:$B$5,F5)</f>
        <v>Micro</v>
      </c>
      <c r="H5" s="0" t="n">
        <f aca="false">COUNTIFS($B$2:$B$81,"&gt;="&amp;INDEX(products!$C$2:$C$5,F5),$C$2:$C$81,"&gt;="&amp;INDEX(products!$D$2:$D$5,F5),$D$2:$D$81,"&lt;=90")+INDEX(products!$I$2:$I$5,F5)*(COUNTIFS($C$2:$C$81,"&gt;="&amp;INDEX(products!$D$2:$D$5,F5),$D$2:$D$81,"&lt;=90")-COUNTIFS($B$2:$B$81,"&gt;=0",$C$2:$C$81,"&gt;="&amp;INDEX(products!$D$2:$D$5,F5),$D$2:$D$81,"&lt;=90"))</f>
        <v>69</v>
      </c>
    </row>
    <row r="6" customFormat="false" ht="15" hidden="false" customHeight="false" outlineLevel="0" collapsed="false">
      <c r="A6" s="0" t="n">
        <v>5005</v>
      </c>
      <c r="C6" s="0" t="n">
        <v>20500000</v>
      </c>
      <c r="D6" s="0" t="n">
        <v>0</v>
      </c>
    </row>
    <row r="7" customFormat="false" ht="15" hidden="false" customHeight="false" outlineLevel="0" collapsed="false">
      <c r="A7" s="0" t="n">
        <v>5006</v>
      </c>
      <c r="C7" s="0" t="n">
        <v>17500000</v>
      </c>
      <c r="D7" s="0" t="n">
        <v>0</v>
      </c>
    </row>
    <row r="8" customFormat="false" ht="15" hidden="false" customHeight="false" outlineLevel="0" collapsed="false">
      <c r="A8" s="0" t="n">
        <v>5007</v>
      </c>
      <c r="B8" s="0" t="n">
        <v>779</v>
      </c>
      <c r="C8" s="0" t="n">
        <v>8500000</v>
      </c>
      <c r="D8" s="0" t="n">
        <v>9</v>
      </c>
    </row>
    <row r="9" customFormat="false" ht="15" hidden="false" customHeight="false" outlineLevel="0" collapsed="false">
      <c r="A9" s="0" t="n">
        <v>5008</v>
      </c>
      <c r="B9" s="0" t="n">
        <v>599</v>
      </c>
      <c r="C9" s="0" t="n">
        <v>11000000</v>
      </c>
      <c r="D9" s="0" t="n">
        <v>6</v>
      </c>
    </row>
    <row r="10" customFormat="false" ht="15" hidden="false" customHeight="false" outlineLevel="0" collapsed="false">
      <c r="A10" s="0" t="n">
        <v>5009</v>
      </c>
      <c r="B10" s="0" t="n">
        <v>468</v>
      </c>
      <c r="C10" s="0" t="n">
        <v>11000000</v>
      </c>
      <c r="D10" s="0" t="n">
        <v>325</v>
      </c>
    </row>
    <row r="11" customFormat="false" ht="15" hidden="false" customHeight="false" outlineLevel="0" collapsed="false">
      <c r="A11" s="0" t="n">
        <v>5010</v>
      </c>
      <c r="B11" s="0" t="n">
        <v>660</v>
      </c>
      <c r="C11" s="0" t="n">
        <v>7000000</v>
      </c>
      <c r="D11" s="0" t="n">
        <v>36</v>
      </c>
    </row>
    <row r="12" customFormat="false" ht="15" hidden="false" customHeight="false" outlineLevel="0" collapsed="false">
      <c r="A12" s="0" t="n">
        <v>5011</v>
      </c>
      <c r="C12" s="0" t="n">
        <v>6000000</v>
      </c>
      <c r="D12" s="0" t="n">
        <v>0</v>
      </c>
    </row>
    <row r="13" customFormat="false" ht="15" hidden="false" customHeight="false" outlineLevel="0" collapsed="false">
      <c r="A13" s="0" t="n">
        <v>5012</v>
      </c>
      <c r="C13" s="0" t="n">
        <v>17500000</v>
      </c>
      <c r="D13" s="0" t="n">
        <v>0</v>
      </c>
    </row>
    <row r="14" customFormat="false" ht="15" hidden="false" customHeight="false" outlineLevel="0" collapsed="false">
      <c r="A14" s="0" t="n">
        <v>5013</v>
      </c>
      <c r="B14" s="0" t="n">
        <v>518</v>
      </c>
      <c r="C14" s="0" t="n">
        <v>24000000</v>
      </c>
      <c r="D14" s="0" t="n">
        <v>65</v>
      </c>
    </row>
    <row r="15" customFormat="false" ht="15" hidden="false" customHeight="false" outlineLevel="0" collapsed="false">
      <c r="A15" s="0" t="n">
        <v>5014</v>
      </c>
      <c r="C15" s="0" t="n">
        <v>12500000</v>
      </c>
      <c r="D15" s="0" t="n">
        <v>0</v>
      </c>
    </row>
    <row r="16" customFormat="false" ht="15" hidden="false" customHeight="false" outlineLevel="0" collapsed="false">
      <c r="A16" s="0" t="n">
        <v>5015</v>
      </c>
      <c r="B16" s="0" t="n">
        <v>442</v>
      </c>
      <c r="C16" s="0" t="n">
        <v>9500000</v>
      </c>
      <c r="D16" s="0" t="n">
        <v>183</v>
      </c>
    </row>
    <row r="17" customFormat="false" ht="15" hidden="false" customHeight="false" outlineLevel="0" collapsed="false">
      <c r="A17" s="0" t="n">
        <v>5016</v>
      </c>
      <c r="C17" s="0" t="n">
        <v>26000000</v>
      </c>
      <c r="D17" s="0" t="n">
        <v>0</v>
      </c>
    </row>
    <row r="18" customFormat="false" ht="15" hidden="false" customHeight="false" outlineLevel="0" collapsed="false">
      <c r="A18" s="0" t="n">
        <v>5017</v>
      </c>
      <c r="C18" s="0" t="n">
        <v>6000000</v>
      </c>
      <c r="D18" s="0" t="n">
        <v>0</v>
      </c>
    </row>
    <row r="19" customFormat="false" ht="15" hidden="false" customHeight="false" outlineLevel="0" collapsed="false">
      <c r="A19" s="0" t="n">
        <v>5018</v>
      </c>
      <c r="B19" s="0" t="n">
        <v>631</v>
      </c>
      <c r="C19" s="0" t="n">
        <v>14500000</v>
      </c>
      <c r="D19" s="0" t="n">
        <v>6</v>
      </c>
    </row>
    <row r="20" customFormat="false" ht="15" hidden="false" customHeight="false" outlineLevel="0" collapsed="false">
      <c r="A20" s="0" t="n">
        <v>5019</v>
      </c>
      <c r="B20" s="0" t="n">
        <v>699</v>
      </c>
      <c r="C20" s="0" t="n">
        <v>21000000</v>
      </c>
      <c r="D20" s="0" t="n">
        <v>8</v>
      </c>
    </row>
    <row r="21" customFormat="false" ht="15" hidden="false" customHeight="false" outlineLevel="0" collapsed="false">
      <c r="A21" s="0" t="n">
        <v>5020</v>
      </c>
      <c r="C21" s="0" t="n">
        <v>26000000</v>
      </c>
      <c r="D21" s="0" t="n">
        <v>0</v>
      </c>
    </row>
    <row r="22" customFormat="false" ht="15" hidden="false" customHeight="false" outlineLevel="0" collapsed="false">
      <c r="A22" s="0" t="n">
        <v>5021</v>
      </c>
      <c r="B22" s="0" t="n">
        <v>577</v>
      </c>
      <c r="C22" s="0" t="n">
        <v>8500000</v>
      </c>
      <c r="D22" s="0" t="n">
        <v>77</v>
      </c>
    </row>
    <row r="23" customFormat="false" ht="15" hidden="false" customHeight="false" outlineLevel="0" collapsed="false">
      <c r="A23" s="0" t="n">
        <v>5022</v>
      </c>
      <c r="B23" s="0" t="n">
        <v>564</v>
      </c>
      <c r="C23" s="0" t="n">
        <v>9500000</v>
      </c>
      <c r="D23" s="0" t="n">
        <v>9</v>
      </c>
    </row>
    <row r="24" customFormat="false" ht="15" hidden="false" customHeight="false" outlineLevel="0" collapsed="false">
      <c r="A24" s="0" t="n">
        <v>5023</v>
      </c>
      <c r="C24" s="0" t="n">
        <v>6000000</v>
      </c>
      <c r="D24" s="0" t="n">
        <v>0</v>
      </c>
    </row>
    <row r="25" customFormat="false" ht="15" hidden="false" customHeight="false" outlineLevel="0" collapsed="false">
      <c r="A25" s="0" t="n">
        <v>5024</v>
      </c>
      <c r="B25" s="0" t="n">
        <v>760</v>
      </c>
      <c r="C25" s="0" t="n">
        <v>45000000</v>
      </c>
      <c r="D25" s="0" t="n">
        <v>3</v>
      </c>
    </row>
    <row r="26" customFormat="false" ht="15" hidden="false" customHeight="false" outlineLevel="0" collapsed="false">
      <c r="A26" s="0" t="n">
        <v>5025</v>
      </c>
      <c r="B26" s="0" t="n">
        <v>563</v>
      </c>
      <c r="C26" s="0" t="n">
        <v>13000000</v>
      </c>
      <c r="D26" s="0" t="n">
        <v>68</v>
      </c>
    </row>
    <row r="27" customFormat="false" ht="15" hidden="false" customHeight="false" outlineLevel="0" collapsed="false">
      <c r="A27" s="0" t="n">
        <v>5026</v>
      </c>
      <c r="B27" s="0" t="n">
        <v>642</v>
      </c>
      <c r="C27" s="0" t="n">
        <v>4500000</v>
      </c>
      <c r="D27" s="0" t="n">
        <v>6</v>
      </c>
    </row>
    <row r="28" customFormat="false" ht="15" hidden="false" customHeight="false" outlineLevel="0" collapsed="false">
      <c r="A28" s="0" t="n">
        <v>5027</v>
      </c>
      <c r="C28" s="0" t="n">
        <v>10000000</v>
      </c>
      <c r="D28" s="0" t="n">
        <v>0</v>
      </c>
    </row>
    <row r="29" customFormat="false" ht="15" hidden="false" customHeight="false" outlineLevel="0" collapsed="false">
      <c r="A29" s="0" t="n">
        <v>5028</v>
      </c>
      <c r="B29" s="0" t="n">
        <v>687</v>
      </c>
      <c r="C29" s="0" t="n">
        <v>23000000</v>
      </c>
      <c r="D29" s="0" t="n">
        <v>4</v>
      </c>
    </row>
    <row r="30" customFormat="false" ht="15" hidden="false" customHeight="false" outlineLevel="0" collapsed="false">
      <c r="A30" s="0" t="n">
        <v>5029</v>
      </c>
      <c r="C30" s="0" t="n">
        <v>7500000</v>
      </c>
      <c r="D30" s="0" t="n">
        <v>0</v>
      </c>
    </row>
    <row r="31" customFormat="false" ht="15" hidden="false" customHeight="false" outlineLevel="0" collapsed="false">
      <c r="A31" s="0" t="n">
        <v>5030</v>
      </c>
      <c r="B31" s="0" t="n">
        <v>628</v>
      </c>
      <c r="C31" s="0" t="n">
        <v>15500000</v>
      </c>
      <c r="D31" s="0" t="n">
        <v>72</v>
      </c>
    </row>
    <row r="32" customFormat="false" ht="15" hidden="false" customHeight="false" outlineLevel="0" collapsed="false">
      <c r="A32" s="0" t="n">
        <v>5031</v>
      </c>
      <c r="B32" s="0" t="n">
        <v>723</v>
      </c>
      <c r="C32" s="0" t="n">
        <v>8500000</v>
      </c>
      <c r="D32" s="0" t="n">
        <v>8</v>
      </c>
    </row>
    <row r="33" customFormat="false" ht="15" hidden="false" customHeight="false" outlineLevel="0" collapsed="false">
      <c r="A33" s="0" t="n">
        <v>5032</v>
      </c>
      <c r="B33" s="0" t="n">
        <v>842</v>
      </c>
      <c r="C33" s="0" t="n">
        <v>4500000</v>
      </c>
      <c r="D33" s="0" t="n">
        <v>8</v>
      </c>
    </row>
    <row r="34" customFormat="false" ht="15" hidden="false" customHeight="false" outlineLevel="0" collapsed="false">
      <c r="A34" s="0" t="n">
        <v>5033</v>
      </c>
      <c r="B34" s="0" t="n">
        <v>413</v>
      </c>
      <c r="C34" s="0" t="n">
        <v>18500000</v>
      </c>
      <c r="D34" s="0" t="n">
        <v>339</v>
      </c>
    </row>
    <row r="35" customFormat="false" ht="15" hidden="false" customHeight="false" outlineLevel="0" collapsed="false">
      <c r="A35" s="0" t="n">
        <v>5034</v>
      </c>
      <c r="B35" s="0" t="n">
        <v>840</v>
      </c>
      <c r="C35" s="0" t="n">
        <v>14500000</v>
      </c>
      <c r="D35" s="0" t="n">
        <v>7</v>
      </c>
    </row>
    <row r="36" customFormat="false" ht="15" hidden="false" customHeight="false" outlineLevel="0" collapsed="false">
      <c r="A36" s="0" t="n">
        <v>5035</v>
      </c>
      <c r="C36" s="0" t="n">
        <v>9000000</v>
      </c>
      <c r="D36" s="0" t="n">
        <v>0</v>
      </c>
    </row>
    <row r="37" customFormat="false" ht="15" hidden="false" customHeight="false" outlineLevel="0" collapsed="false">
      <c r="A37" s="0" t="n">
        <v>5036</v>
      </c>
      <c r="B37" s="0" t="n">
        <v>562</v>
      </c>
      <c r="C37" s="0" t="n">
        <v>11000000</v>
      </c>
      <c r="D37" s="0" t="n">
        <v>37</v>
      </c>
    </row>
    <row r="38" customFormat="false" ht="15" hidden="false" customHeight="false" outlineLevel="0" collapsed="false">
      <c r="A38" s="0" t="n">
        <v>5037</v>
      </c>
      <c r="B38" s="0" t="n">
        <v>600</v>
      </c>
      <c r="C38" s="0" t="n">
        <v>10000000</v>
      </c>
      <c r="D38" s="0" t="n">
        <v>7</v>
      </c>
    </row>
    <row r="39" customFormat="false" ht="15" hidden="false" customHeight="false" outlineLevel="0" collapsed="false">
      <c r="A39" s="0" t="n">
        <v>5038</v>
      </c>
      <c r="B39" s="0" t="n">
        <v>818</v>
      </c>
      <c r="C39" s="0" t="n">
        <v>6500000</v>
      </c>
      <c r="D39" s="0" t="n">
        <v>2</v>
      </c>
    </row>
    <row r="40" customFormat="false" ht="15" hidden="false" customHeight="false" outlineLevel="0" collapsed="false">
      <c r="A40" s="0" t="n">
        <v>5039</v>
      </c>
      <c r="B40" s="0" t="n">
        <v>612</v>
      </c>
      <c r="C40" s="0" t="n">
        <v>9500000</v>
      </c>
      <c r="D40" s="0" t="n">
        <v>17</v>
      </c>
    </row>
    <row r="41" customFormat="false" ht="15" hidden="false" customHeight="false" outlineLevel="0" collapsed="false">
      <c r="A41" s="0" t="n">
        <v>5040</v>
      </c>
      <c r="C41" s="0" t="n">
        <v>7000000</v>
      </c>
      <c r="D41" s="0" t="n">
        <v>0</v>
      </c>
    </row>
    <row r="42" customFormat="false" ht="15" hidden="false" customHeight="false" outlineLevel="0" collapsed="false">
      <c r="A42" s="0" t="n">
        <v>5041</v>
      </c>
      <c r="B42" s="0" t="n">
        <v>778</v>
      </c>
      <c r="C42" s="0" t="n">
        <v>12000000</v>
      </c>
      <c r="D42" s="0" t="n">
        <v>9</v>
      </c>
    </row>
    <row r="43" customFormat="false" ht="15" hidden="false" customHeight="false" outlineLevel="0" collapsed="false">
      <c r="A43" s="0" t="n">
        <v>5042</v>
      </c>
      <c r="B43" s="0" t="n">
        <v>552</v>
      </c>
      <c r="C43" s="0" t="n">
        <v>38000000</v>
      </c>
      <c r="D43" s="0" t="n">
        <v>45</v>
      </c>
    </row>
    <row r="44" customFormat="false" ht="15" hidden="false" customHeight="false" outlineLevel="0" collapsed="false">
      <c r="A44" s="0" t="n">
        <v>5043</v>
      </c>
      <c r="C44" s="0" t="n">
        <v>17000000</v>
      </c>
      <c r="D44" s="0" t="n">
        <v>0</v>
      </c>
    </row>
    <row r="45" customFormat="false" ht="15" hidden="false" customHeight="false" outlineLevel="0" collapsed="false">
      <c r="A45" s="0" t="n">
        <v>5044</v>
      </c>
      <c r="B45" s="0" t="n">
        <v>512</v>
      </c>
      <c r="C45" s="0" t="n">
        <v>23000000</v>
      </c>
      <c r="D45" s="0" t="n">
        <v>11</v>
      </c>
    </row>
    <row r="46" customFormat="false" ht="15" hidden="false" customHeight="false" outlineLevel="0" collapsed="false">
      <c r="A46" s="0" t="n">
        <v>5045</v>
      </c>
      <c r="B46" s="0" t="n">
        <v>671</v>
      </c>
      <c r="C46" s="0" t="n">
        <v>14000000</v>
      </c>
      <c r="D46" s="0" t="n">
        <v>40</v>
      </c>
    </row>
    <row r="47" customFormat="false" ht="15" hidden="false" customHeight="false" outlineLevel="0" collapsed="false">
      <c r="A47" s="0" t="n">
        <v>5046</v>
      </c>
      <c r="B47" s="0" t="n">
        <v>717</v>
      </c>
      <c r="C47" s="0" t="n">
        <v>7000000</v>
      </c>
      <c r="D47" s="0" t="n">
        <v>9</v>
      </c>
    </row>
    <row r="48" customFormat="false" ht="15" hidden="false" customHeight="false" outlineLevel="0" collapsed="false">
      <c r="A48" s="0" t="n">
        <v>5047</v>
      </c>
      <c r="B48" s="0" t="n">
        <v>593</v>
      </c>
      <c r="C48" s="0" t="n">
        <v>13000000</v>
      </c>
      <c r="D48" s="0" t="n">
        <v>4</v>
      </c>
    </row>
    <row r="49" customFormat="false" ht="15" hidden="false" customHeight="false" outlineLevel="0" collapsed="false">
      <c r="A49" s="0" t="n">
        <v>5048</v>
      </c>
      <c r="B49" s="0" t="n">
        <v>592</v>
      </c>
      <c r="C49" s="0" t="n">
        <v>17500000</v>
      </c>
      <c r="D49" s="0" t="n">
        <v>57</v>
      </c>
    </row>
    <row r="50" customFormat="false" ht="15" hidden="false" customHeight="false" outlineLevel="0" collapsed="false">
      <c r="A50" s="0" t="n">
        <v>5049</v>
      </c>
      <c r="B50" s="0" t="n">
        <v>570</v>
      </c>
      <c r="C50" s="0" t="n">
        <v>19500000</v>
      </c>
      <c r="D50" s="0" t="n">
        <v>13</v>
      </c>
    </row>
    <row r="51" customFormat="false" ht="15" hidden="false" customHeight="false" outlineLevel="0" collapsed="false">
      <c r="A51" s="0" t="n">
        <v>5050</v>
      </c>
      <c r="B51" s="0" t="n">
        <v>672</v>
      </c>
      <c r="C51" s="0" t="n">
        <v>12000000</v>
      </c>
      <c r="D51" s="0" t="n">
        <v>7</v>
      </c>
    </row>
    <row r="52" customFormat="false" ht="15" hidden="false" customHeight="false" outlineLevel="0" collapsed="false">
      <c r="A52" s="0" t="n">
        <v>5051</v>
      </c>
      <c r="B52" s="0" t="n">
        <v>700</v>
      </c>
      <c r="C52" s="0" t="n">
        <v>15000000</v>
      </c>
      <c r="D52" s="0" t="n">
        <v>8</v>
      </c>
    </row>
    <row r="53" customFormat="false" ht="15" hidden="false" customHeight="false" outlineLevel="0" collapsed="false">
      <c r="A53" s="0" t="n">
        <v>5052</v>
      </c>
      <c r="C53" s="0" t="n">
        <v>5000000</v>
      </c>
      <c r="D53" s="0" t="n">
        <v>0</v>
      </c>
    </row>
    <row r="54" customFormat="false" ht="15" hidden="false" customHeight="false" outlineLevel="0" collapsed="false">
      <c r="A54" s="0" t="n">
        <v>5053</v>
      </c>
      <c r="B54" s="0" t="n">
        <v>431</v>
      </c>
      <c r="C54" s="0" t="n">
        <v>43500000</v>
      </c>
      <c r="D54" s="0" t="n">
        <v>109</v>
      </c>
    </row>
    <row r="55" customFormat="false" ht="15" hidden="false" customHeight="false" outlineLevel="0" collapsed="false">
      <c r="A55" s="0" t="n">
        <v>5054</v>
      </c>
      <c r="B55" s="0" t="n">
        <v>321</v>
      </c>
      <c r="C55" s="0" t="n">
        <v>7500000</v>
      </c>
      <c r="D55" s="0" t="n">
        <v>264</v>
      </c>
    </row>
    <row r="56" customFormat="false" ht="15" hidden="false" customHeight="false" outlineLevel="0" collapsed="false">
      <c r="A56" s="0" t="n">
        <v>5055</v>
      </c>
      <c r="C56" s="0" t="n">
        <v>21000000</v>
      </c>
      <c r="D56" s="0" t="n">
        <v>0</v>
      </c>
    </row>
    <row r="57" customFormat="false" ht="15" hidden="false" customHeight="false" outlineLevel="0" collapsed="false">
      <c r="A57" s="0" t="n">
        <v>5056</v>
      </c>
      <c r="B57" s="0" t="n">
        <v>567</v>
      </c>
      <c r="C57" s="0" t="n">
        <v>11500000</v>
      </c>
      <c r="D57" s="0" t="n">
        <v>6</v>
      </c>
    </row>
    <row r="58" customFormat="false" ht="15" hidden="false" customHeight="false" outlineLevel="0" collapsed="false">
      <c r="A58" s="0" t="n">
        <v>5057</v>
      </c>
      <c r="B58" s="0" t="n">
        <v>500</v>
      </c>
      <c r="C58" s="0" t="n">
        <v>7000000</v>
      </c>
      <c r="D58" s="0" t="n">
        <v>9</v>
      </c>
    </row>
    <row r="59" customFormat="false" ht="15" hidden="false" customHeight="false" outlineLevel="0" collapsed="false">
      <c r="A59" s="0" t="n">
        <v>5058</v>
      </c>
      <c r="B59" s="0" t="n">
        <v>726</v>
      </c>
      <c r="C59" s="0" t="n">
        <v>17000000</v>
      </c>
      <c r="D59" s="0" t="n">
        <v>5</v>
      </c>
    </row>
    <row r="60" customFormat="false" ht="15" hidden="false" customHeight="false" outlineLevel="0" collapsed="false">
      <c r="A60" s="0" t="n">
        <v>5059</v>
      </c>
      <c r="B60" s="0" t="n">
        <v>329</v>
      </c>
      <c r="C60" s="0" t="n">
        <v>8500000</v>
      </c>
      <c r="D60" s="0" t="n">
        <v>155</v>
      </c>
    </row>
    <row r="61" customFormat="false" ht="15" hidden="false" customHeight="false" outlineLevel="0" collapsed="false">
      <c r="A61" s="0" t="n">
        <v>5060</v>
      </c>
      <c r="B61" s="0" t="n">
        <v>796</v>
      </c>
      <c r="C61" s="0" t="n">
        <v>20000000</v>
      </c>
      <c r="D61" s="0" t="n">
        <v>7</v>
      </c>
    </row>
    <row r="62" customFormat="false" ht="15" hidden="false" customHeight="false" outlineLevel="0" collapsed="false">
      <c r="A62" s="0" t="n">
        <v>5061</v>
      </c>
      <c r="B62" s="0" t="n">
        <v>650</v>
      </c>
      <c r="C62" s="0" t="n">
        <v>12000000</v>
      </c>
      <c r="D62" s="0" t="n">
        <v>90</v>
      </c>
    </row>
    <row r="63" customFormat="false" ht="15" hidden="false" customHeight="false" outlineLevel="0" collapsed="false">
      <c r="A63" s="0" t="n">
        <v>5062</v>
      </c>
      <c r="B63" s="0" t="n">
        <v>765</v>
      </c>
      <c r="C63" s="0" t="n">
        <v>11500000</v>
      </c>
      <c r="D63" s="0" t="n">
        <v>5</v>
      </c>
    </row>
    <row r="64" customFormat="false" ht="15" hidden="false" customHeight="false" outlineLevel="0" collapsed="false">
      <c r="A64" s="0" t="n">
        <v>5063</v>
      </c>
      <c r="B64" s="0" t="n">
        <v>719</v>
      </c>
      <c r="C64" s="0" t="n">
        <v>15500000</v>
      </c>
      <c r="D64" s="0" t="n">
        <v>8</v>
      </c>
    </row>
    <row r="65" customFormat="false" ht="15" hidden="false" customHeight="false" outlineLevel="0" collapsed="false">
      <c r="A65" s="0" t="n">
        <v>5064</v>
      </c>
      <c r="B65" s="0" t="n">
        <v>803</v>
      </c>
      <c r="C65" s="0" t="n">
        <v>7000000</v>
      </c>
      <c r="D65" s="0" t="n">
        <v>7</v>
      </c>
    </row>
    <row r="66" customFormat="false" ht="15" hidden="false" customHeight="false" outlineLevel="0" collapsed="false">
      <c r="A66" s="0" t="n">
        <v>5065</v>
      </c>
      <c r="C66" s="0" t="n">
        <v>6500000</v>
      </c>
      <c r="D66" s="0" t="n">
        <v>0</v>
      </c>
    </row>
    <row r="67" customFormat="false" ht="15" hidden="false" customHeight="false" outlineLevel="0" collapsed="false">
      <c r="A67" s="0" t="n">
        <v>5066</v>
      </c>
      <c r="B67" s="0" t="n">
        <v>659</v>
      </c>
      <c r="C67" s="0" t="n">
        <v>8000000</v>
      </c>
      <c r="D67" s="0" t="n">
        <v>4</v>
      </c>
    </row>
    <row r="68" customFormat="false" ht="15" hidden="false" customHeight="false" outlineLevel="0" collapsed="false">
      <c r="A68" s="0" t="n">
        <v>5067</v>
      </c>
      <c r="B68" s="0" t="n">
        <v>710</v>
      </c>
      <c r="C68" s="0" t="n">
        <v>19500000</v>
      </c>
      <c r="D68" s="0" t="n">
        <v>9</v>
      </c>
    </row>
    <row r="69" customFormat="false" ht="15" hidden="false" customHeight="false" outlineLevel="0" collapsed="false">
      <c r="A69" s="0" t="n">
        <v>5068</v>
      </c>
      <c r="B69" s="0" t="n">
        <v>770</v>
      </c>
      <c r="C69" s="0" t="n">
        <v>9000000</v>
      </c>
      <c r="D69" s="0" t="n">
        <v>7</v>
      </c>
    </row>
    <row r="70" customFormat="false" ht="15" hidden="false" customHeight="false" outlineLevel="0" collapsed="false">
      <c r="A70" s="0" t="n">
        <v>5069</v>
      </c>
      <c r="B70" s="0" t="n">
        <v>817</v>
      </c>
      <c r="C70" s="0" t="n">
        <v>23500000</v>
      </c>
      <c r="D70" s="0" t="n">
        <v>8</v>
      </c>
    </row>
    <row r="71" customFormat="false" ht="15" hidden="false" customHeight="false" outlineLevel="0" collapsed="false">
      <c r="A71" s="0" t="n">
        <v>5070</v>
      </c>
      <c r="B71" s="0" t="n">
        <v>424</v>
      </c>
      <c r="C71" s="0" t="n">
        <v>20000000</v>
      </c>
      <c r="D71" s="0" t="n">
        <v>244</v>
      </c>
    </row>
    <row r="72" customFormat="false" ht="15" hidden="false" customHeight="false" outlineLevel="0" collapsed="false">
      <c r="A72" s="0" t="n">
        <v>5071</v>
      </c>
      <c r="B72" s="0" t="n">
        <v>719</v>
      </c>
      <c r="C72" s="0" t="n">
        <v>14000000</v>
      </c>
      <c r="D72" s="0" t="n">
        <v>7</v>
      </c>
    </row>
    <row r="73" customFormat="false" ht="15" hidden="false" customHeight="false" outlineLevel="0" collapsed="false">
      <c r="A73" s="0" t="n">
        <v>5072</v>
      </c>
      <c r="B73" s="0" t="n">
        <v>653</v>
      </c>
      <c r="C73" s="0" t="n">
        <v>18000000</v>
      </c>
      <c r="D73" s="0" t="n">
        <v>8</v>
      </c>
    </row>
    <row r="74" customFormat="false" ht="15" hidden="false" customHeight="false" outlineLevel="0" collapsed="false">
      <c r="A74" s="0" t="n">
        <v>5073</v>
      </c>
      <c r="C74" s="0" t="n">
        <v>12000000</v>
      </c>
      <c r="D74" s="0" t="n">
        <v>0</v>
      </c>
    </row>
    <row r="75" customFormat="false" ht="15" hidden="false" customHeight="false" outlineLevel="0" collapsed="false">
      <c r="A75" s="0" t="n">
        <v>5074</v>
      </c>
      <c r="B75" s="0" t="n">
        <v>711</v>
      </c>
      <c r="C75" s="0" t="n">
        <v>17000000</v>
      </c>
      <c r="D75" s="0" t="n">
        <v>9</v>
      </c>
    </row>
    <row r="76" customFormat="false" ht="15" hidden="false" customHeight="false" outlineLevel="0" collapsed="false">
      <c r="A76" s="0" t="n">
        <v>5075</v>
      </c>
      <c r="B76" s="0" t="n">
        <v>704</v>
      </c>
      <c r="C76" s="0" t="n">
        <v>15500000</v>
      </c>
      <c r="D76" s="0" t="n">
        <v>8</v>
      </c>
    </row>
    <row r="77" customFormat="false" ht="15" hidden="false" customHeight="false" outlineLevel="0" collapsed="false">
      <c r="A77" s="0" t="n">
        <v>5076</v>
      </c>
      <c r="B77" s="0" t="n">
        <v>775</v>
      </c>
      <c r="C77" s="0" t="n">
        <v>12500000</v>
      </c>
      <c r="D77" s="0" t="n">
        <v>8</v>
      </c>
    </row>
    <row r="78" customFormat="false" ht="15" hidden="false" customHeight="false" outlineLevel="0" collapsed="false">
      <c r="A78" s="0" t="n">
        <v>5077</v>
      </c>
      <c r="B78" s="0" t="n">
        <v>400</v>
      </c>
      <c r="C78" s="0" t="n">
        <v>5000000</v>
      </c>
      <c r="D78" s="0" t="n">
        <v>10</v>
      </c>
    </row>
    <row r="79" customFormat="false" ht="15" hidden="false" customHeight="false" outlineLevel="0" collapsed="false">
      <c r="A79" s="0" t="n">
        <v>5078</v>
      </c>
      <c r="B79" s="0" t="n">
        <v>608</v>
      </c>
      <c r="C79" s="0" t="n">
        <v>16500000</v>
      </c>
      <c r="D79" s="0" t="n">
        <v>32</v>
      </c>
    </row>
    <row r="80" customFormat="false" ht="15" hidden="false" customHeight="false" outlineLevel="0" collapsed="false">
      <c r="A80" s="0" t="n">
        <v>5079</v>
      </c>
      <c r="B80" s="0" t="n">
        <v>713</v>
      </c>
      <c r="C80" s="0" t="n">
        <v>18500000</v>
      </c>
      <c r="D80" s="0" t="n">
        <v>7</v>
      </c>
    </row>
    <row r="81" customFormat="false" ht="15" hidden="false" customHeight="false" outlineLevel="0" collapsed="false">
      <c r="A81" s="0" t="n">
        <v>5080</v>
      </c>
      <c r="C81" s="0" t="n">
        <v>20000000</v>
      </c>
      <c r="D8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7"/>
  </cols>
  <sheetData>
    <row r="1" customFormat="false" ht="15" hidden="false" customHeight="false" outlineLevel="0" collapsed="false">
      <c r="A1" s="2" t="s">
        <v>4</v>
      </c>
      <c r="B1" s="2" t="s">
        <v>7</v>
      </c>
      <c r="C1" s="2" t="s">
        <v>5</v>
      </c>
      <c r="D1" s="2" t="s">
        <v>43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52</v>
      </c>
      <c r="J1" s="2"/>
      <c r="K1" s="2" t="s">
        <v>53</v>
      </c>
      <c r="L1" s="2" t="s">
        <v>37</v>
      </c>
    </row>
    <row r="2" customFormat="false" ht="15" hidden="false" customHeight="false" outlineLevel="0" collapsed="false">
      <c r="A2" s="0" t="n">
        <v>5001</v>
      </c>
      <c r="B2" s="0" t="n">
        <v>426</v>
      </c>
      <c r="C2" s="0" t="n">
        <v>17500000</v>
      </c>
      <c r="D2" s="0" t="n">
        <v>262</v>
      </c>
      <c r="E2" s="0" t="n">
        <f aca="false">IF(AND($D2&lt;=90,$C2&gt;=INDEX(products!$D$2:$D$5,MATCH(E$1,products!$B$2:$B$5,0)),OR($B2&gt;=INDEX(products!$C$2:$C$5,MATCH(E$1,products!$B$2:$B$5,0)),AND($B2="",INDEX(products!$I$2:$I$5,MATCH(E$1,products!$B$2:$B$5,0))=1))),1,0)</f>
        <v>0</v>
      </c>
      <c r="F2" s="0" t="n">
        <f aca="false">IF(AND($D2&lt;=90,$C2&gt;=INDEX(products!$D$2:$D$5,MATCH(F$1,products!$B$2:$B$5,0)),OR($B2&gt;=INDEX(products!$C$2:$C$5,MATCH(F$1,products!$B$2:$B$5,0)),AND($B2="",INDEX(products!$I$2:$I$5,MATCH(F$1,products!$B$2:$B$5,0))=1))),1,0)</f>
        <v>0</v>
      </c>
      <c r="G2" s="0" t="n">
        <f aca="false">IF(AND($D2&lt;=90,$C2&gt;=INDEX(products!$D$2:$D$5,MATCH(G$1,products!$B$2:$B$5,0)),OR($B2&gt;=INDEX(products!$C$2:$C$5,MATCH(G$1,products!$B$2:$B$5,0)),AND($B2="",INDEX(products!$I$2:$I$5,MATCH(G$1,products!$B$2:$B$5,0))=1))),1,0)</f>
        <v>0</v>
      </c>
      <c r="H2" s="0" t="n">
        <f aca="false">IF(AND($D2&lt;=90,$C2&gt;=INDEX(products!$D$2:$D$5,MATCH(H$1,products!$B$2:$B$5,0)),OR($B2&gt;=INDEX(products!$C$2:$C$5,MATCH(H$1,products!$B$2:$B$5,0)),AND($B2="",INDEX(products!$I$2:$I$5,MATCH(H$1,products!$B$2:$B$5,0))=1))),1,0)</f>
        <v>0</v>
      </c>
      <c r="I2" s="0" t="str">
        <f aca="false">IFERROR(INDEX($E$1:$H$1,MATCH(1,E2:H2,0)),"No offer")</f>
        <v>No offer</v>
      </c>
      <c r="K2" s="0" t="s">
        <v>31</v>
      </c>
      <c r="L2" s="0" t="n">
        <f aca="false">COUNTIF($I$2:$I$81,K2)</f>
        <v>10</v>
      </c>
    </row>
    <row r="3" customFormat="false" ht="15" hidden="false" customHeight="false" outlineLevel="0" collapsed="false">
      <c r="A3" s="0" t="n">
        <v>5002</v>
      </c>
      <c r="B3" s="0" t="n">
        <v>799</v>
      </c>
      <c r="C3" s="0" t="n">
        <v>11000000</v>
      </c>
      <c r="D3" s="0" t="n">
        <v>7</v>
      </c>
      <c r="E3" s="0" t="n">
        <f aca="false">IF(AND($D3&lt;=90,$C3&gt;=INDEX(products!$D$2:$D$5,MATCH(E$1,products!$B$2:$B$5,0)),OR($B3&gt;=INDEX(products!$C$2:$C$5,MATCH(E$1,products!$B$2:$B$5,0)),AND($B3="",INDEX(products!$I$2:$I$5,MATCH(E$1,products!$B$2:$B$5,0))=1))),1,0)</f>
        <v>0</v>
      </c>
      <c r="F3" s="0" t="n">
        <f aca="false">IF(AND($D3&lt;=90,$C3&gt;=INDEX(products!$D$2:$D$5,MATCH(F$1,products!$B$2:$B$5,0)),OR($B3&gt;=INDEX(products!$C$2:$C$5,MATCH(F$1,products!$B$2:$B$5,0)),AND($B3="",INDEX(products!$I$2:$I$5,MATCH(F$1,products!$B$2:$B$5,0))=1))),1,0)</f>
        <v>1</v>
      </c>
      <c r="G3" s="0" t="n">
        <f aca="false">IF(AND($D3&lt;=90,$C3&gt;=INDEX(products!$D$2:$D$5,MATCH(G$1,products!$B$2:$B$5,0)),OR($B3&gt;=INDEX(products!$C$2:$C$5,MATCH(G$1,products!$B$2:$B$5,0)),AND($B3="",INDEX(products!$I$2:$I$5,MATCH(G$1,products!$B$2:$B$5,0))=1))),1,0)</f>
        <v>1</v>
      </c>
      <c r="H3" s="0" t="n">
        <f aca="false">IF(AND($D3&lt;=90,$C3&gt;=INDEX(products!$D$2:$D$5,MATCH(H$1,products!$B$2:$B$5,0)),OR($B3&gt;=INDEX(products!$C$2:$C$5,MATCH(H$1,products!$B$2:$B$5,0)),AND($B3="",INDEX(products!$I$2:$I$5,MATCH(H$1,products!$B$2:$B$5,0))=1))),1,0)</f>
        <v>1</v>
      </c>
      <c r="I3" s="0" t="str">
        <f aca="false">IFERROR(INDEX($E$1:$H$1,MATCH(1,E3:H3,0)),"No offer")</f>
        <v>Standard</v>
      </c>
      <c r="K3" s="0" t="s">
        <v>32</v>
      </c>
      <c r="L3" s="0" t="n">
        <f aca="false">COUNTIF($I$2:$I$81,K3)</f>
        <v>16</v>
      </c>
    </row>
    <row r="4" customFormat="false" ht="15" hidden="false" customHeight="false" outlineLevel="0" collapsed="false">
      <c r="A4" s="0" t="n">
        <v>5003</v>
      </c>
      <c r="C4" s="0" t="n">
        <v>7000000</v>
      </c>
      <c r="D4" s="0" t="n">
        <v>0</v>
      </c>
      <c r="E4" s="0" t="n">
        <f aca="false">IF(AND($D4&lt;=90,$C4&gt;=INDEX(products!$D$2:$D$5,MATCH(E$1,products!$B$2:$B$5,0)),OR($B4&gt;=INDEX(products!$C$2:$C$5,MATCH(E$1,products!$B$2:$B$5,0)),AND($B4="",INDEX(products!$I$2:$I$5,MATCH(E$1,products!$B$2:$B$5,0))=1))),1,0)</f>
        <v>0</v>
      </c>
      <c r="F4" s="0" t="n">
        <f aca="false">IF(AND($D4&lt;=90,$C4&gt;=INDEX(products!$D$2:$D$5,MATCH(F$1,products!$B$2:$B$5,0)),OR($B4&gt;=INDEX(products!$C$2:$C$5,MATCH(F$1,products!$B$2:$B$5,0)),AND($B4="",INDEX(products!$I$2:$I$5,MATCH(F$1,products!$B$2:$B$5,0))=1))),1,0)</f>
        <v>0</v>
      </c>
      <c r="G4" s="0" t="n">
        <f aca="false">IF(AND($D4&lt;=90,$C4&gt;=INDEX(products!$D$2:$D$5,MATCH(G$1,products!$B$2:$B$5,0)),OR($B4&gt;=INDEX(products!$C$2:$C$5,MATCH(G$1,products!$B$2:$B$5,0)),AND($B4="",INDEX(products!$I$2:$I$5,MATCH(G$1,products!$B$2:$B$5,0))=1))),1,0)</f>
        <v>0</v>
      </c>
      <c r="H4" s="0" t="n">
        <f aca="false">IF(AND($D4&lt;=90,$C4&gt;=INDEX(products!$D$2:$D$5,MATCH(H$1,products!$B$2:$B$5,0)),OR($B4&gt;=INDEX(products!$C$2:$C$5,MATCH(H$1,products!$B$2:$B$5,0)),AND($B4="",INDEX(products!$I$2:$I$5,MATCH(H$1,products!$B$2:$B$5,0))=1))),1,0)</f>
        <v>1</v>
      </c>
      <c r="I4" s="0" t="str">
        <f aca="false">IFERROR(INDEX($E$1:$H$1,MATCH(1,E4:H4,0)),"No offer")</f>
        <v>Micro</v>
      </c>
      <c r="K4" s="0" t="s">
        <v>33</v>
      </c>
      <c r="L4" s="0" t="n">
        <f aca="false">COUNTIF($I$2:$I$81,K4)</f>
        <v>21</v>
      </c>
    </row>
    <row r="5" customFormat="false" ht="15" hidden="false" customHeight="false" outlineLevel="0" collapsed="false">
      <c r="A5" s="0" t="n">
        <v>5004</v>
      </c>
      <c r="B5" s="0" t="n">
        <v>710</v>
      </c>
      <c r="C5" s="0" t="n">
        <v>20000000</v>
      </c>
      <c r="D5" s="0" t="n">
        <v>91</v>
      </c>
      <c r="E5" s="0" t="n">
        <f aca="false">IF(AND($D5&lt;=90,$C5&gt;=INDEX(products!$D$2:$D$5,MATCH(E$1,products!$B$2:$B$5,0)),OR($B5&gt;=INDEX(products!$C$2:$C$5,MATCH(E$1,products!$B$2:$B$5,0)),AND($B5="",INDEX(products!$I$2:$I$5,MATCH(E$1,products!$B$2:$B$5,0))=1))),1,0)</f>
        <v>0</v>
      </c>
      <c r="F5" s="0" t="n">
        <f aca="false">IF(AND($D5&lt;=90,$C5&gt;=INDEX(products!$D$2:$D$5,MATCH(F$1,products!$B$2:$B$5,0)),OR($B5&gt;=INDEX(products!$C$2:$C$5,MATCH(F$1,products!$B$2:$B$5,0)),AND($B5="",INDEX(products!$I$2:$I$5,MATCH(F$1,products!$B$2:$B$5,0))=1))),1,0)</f>
        <v>0</v>
      </c>
      <c r="G5" s="0" t="n">
        <f aca="false">IF(AND($D5&lt;=90,$C5&gt;=INDEX(products!$D$2:$D$5,MATCH(G$1,products!$B$2:$B$5,0)),OR($B5&gt;=INDEX(products!$C$2:$C$5,MATCH(G$1,products!$B$2:$B$5,0)),AND($B5="",INDEX(products!$I$2:$I$5,MATCH(G$1,products!$B$2:$B$5,0))=1))),1,0)</f>
        <v>0</v>
      </c>
      <c r="H5" s="0" t="n">
        <f aca="false">IF(AND($D5&lt;=90,$C5&gt;=INDEX(products!$D$2:$D$5,MATCH(H$1,products!$B$2:$B$5,0)),OR($B5&gt;=INDEX(products!$C$2:$C$5,MATCH(H$1,products!$B$2:$B$5,0)),AND($B5="",INDEX(products!$I$2:$I$5,MATCH(H$1,products!$B$2:$B$5,0))=1))),1,0)</f>
        <v>0</v>
      </c>
      <c r="I5" s="0" t="str">
        <f aca="false">IFERROR(INDEX($E$1:$H$1,MATCH(1,E5:H5,0)),"No offer")</f>
        <v>No offer</v>
      </c>
      <c r="K5" s="0" t="s">
        <v>34</v>
      </c>
      <c r="L5" s="0" t="n">
        <f aca="false">COUNTIF($I$2:$I$81,K5)</f>
        <v>22</v>
      </c>
    </row>
    <row r="6" customFormat="false" ht="15" hidden="false" customHeight="false" outlineLevel="0" collapsed="false">
      <c r="A6" s="0" t="n">
        <v>5005</v>
      </c>
      <c r="C6" s="0" t="n">
        <v>20500000</v>
      </c>
      <c r="D6" s="0" t="n">
        <v>0</v>
      </c>
      <c r="E6" s="0" t="n">
        <f aca="false">IF(AND($D6&lt;=90,$C6&gt;=INDEX(products!$D$2:$D$5,MATCH(E$1,products!$B$2:$B$5,0)),OR($B6&gt;=INDEX(products!$C$2:$C$5,MATCH(E$1,products!$B$2:$B$5,0)),AND($B6="",INDEX(products!$I$2:$I$5,MATCH(E$1,products!$B$2:$B$5,0))=1))),1,0)</f>
        <v>0</v>
      </c>
      <c r="F6" s="0" t="n">
        <f aca="false">IF(AND($D6&lt;=90,$C6&gt;=INDEX(products!$D$2:$D$5,MATCH(F$1,products!$B$2:$B$5,0)),OR($B6&gt;=INDEX(products!$C$2:$C$5,MATCH(F$1,products!$B$2:$B$5,0)),AND($B6="",INDEX(products!$I$2:$I$5,MATCH(F$1,products!$B$2:$B$5,0))=1))),1,0)</f>
        <v>0</v>
      </c>
      <c r="G6" s="0" t="n">
        <f aca="false">IF(AND($D6&lt;=90,$C6&gt;=INDEX(products!$D$2:$D$5,MATCH(G$1,products!$B$2:$B$5,0)),OR($B6&gt;=INDEX(products!$C$2:$C$5,MATCH(G$1,products!$B$2:$B$5,0)),AND($B6="",INDEX(products!$I$2:$I$5,MATCH(G$1,products!$B$2:$B$5,0))=1))),1,0)</f>
        <v>0</v>
      </c>
      <c r="H6" s="0" t="n">
        <f aca="false">IF(AND($D6&lt;=90,$C6&gt;=INDEX(products!$D$2:$D$5,MATCH(H$1,products!$B$2:$B$5,0)),OR($B6&gt;=INDEX(products!$C$2:$C$5,MATCH(H$1,products!$B$2:$B$5,0)),AND($B6="",INDEX(products!$I$2:$I$5,MATCH(H$1,products!$B$2:$B$5,0))=1))),1,0)</f>
        <v>1</v>
      </c>
      <c r="I6" s="0" t="str">
        <f aca="false">IFERROR(INDEX($E$1:$H$1,MATCH(1,E6:H6,0)),"No offer")</f>
        <v>Micro</v>
      </c>
      <c r="K6" s="0" t="s">
        <v>54</v>
      </c>
      <c r="L6" s="0" t="n">
        <f aca="false">COUNTIF($I$2:$I$81,K6)</f>
        <v>11</v>
      </c>
    </row>
    <row r="7" customFormat="false" ht="15" hidden="false" customHeight="false" outlineLevel="0" collapsed="false">
      <c r="A7" s="0" t="n">
        <v>5006</v>
      </c>
      <c r="C7" s="0" t="n">
        <v>17500000</v>
      </c>
      <c r="D7" s="0" t="n">
        <v>0</v>
      </c>
      <c r="E7" s="0" t="n">
        <f aca="false">IF(AND($D7&lt;=90,$C7&gt;=INDEX(products!$D$2:$D$5,MATCH(E$1,products!$B$2:$B$5,0)),OR($B7&gt;=INDEX(products!$C$2:$C$5,MATCH(E$1,products!$B$2:$B$5,0)),AND($B7="",INDEX(products!$I$2:$I$5,MATCH(E$1,products!$B$2:$B$5,0))=1))),1,0)</f>
        <v>0</v>
      </c>
      <c r="F7" s="0" t="n">
        <f aca="false">IF(AND($D7&lt;=90,$C7&gt;=INDEX(products!$D$2:$D$5,MATCH(F$1,products!$B$2:$B$5,0)),OR($B7&gt;=INDEX(products!$C$2:$C$5,MATCH(F$1,products!$B$2:$B$5,0)),AND($B7="",INDEX(products!$I$2:$I$5,MATCH(F$1,products!$B$2:$B$5,0))=1))),1,0)</f>
        <v>0</v>
      </c>
      <c r="G7" s="0" t="n">
        <f aca="false">IF(AND($D7&lt;=90,$C7&gt;=INDEX(products!$D$2:$D$5,MATCH(G$1,products!$B$2:$B$5,0)),OR($B7&gt;=INDEX(products!$C$2:$C$5,MATCH(G$1,products!$B$2:$B$5,0)),AND($B7="",INDEX(products!$I$2:$I$5,MATCH(G$1,products!$B$2:$B$5,0))=1))),1,0)</f>
        <v>0</v>
      </c>
      <c r="H7" s="0" t="n">
        <f aca="false">IF(AND($D7&lt;=90,$C7&gt;=INDEX(products!$D$2:$D$5,MATCH(H$1,products!$B$2:$B$5,0)),OR($B7&gt;=INDEX(products!$C$2:$C$5,MATCH(H$1,products!$B$2:$B$5,0)),AND($B7="",INDEX(products!$I$2:$I$5,MATCH(H$1,products!$B$2:$B$5,0))=1))),1,0)</f>
        <v>1</v>
      </c>
      <c r="I7" s="0" t="str">
        <f aca="false">IFERROR(INDEX($E$1:$H$1,MATCH(1,E7:H7,0)),"No offer")</f>
        <v>Micro</v>
      </c>
    </row>
    <row r="8" customFormat="false" ht="15" hidden="false" customHeight="false" outlineLevel="0" collapsed="false">
      <c r="A8" s="0" t="n">
        <v>5007</v>
      </c>
      <c r="B8" s="0" t="n">
        <v>779</v>
      </c>
      <c r="C8" s="0" t="n">
        <v>8500000</v>
      </c>
      <c r="D8" s="0" t="n">
        <v>9</v>
      </c>
      <c r="E8" s="0" t="n">
        <f aca="false">IF(AND($D8&lt;=90,$C8&gt;=INDEX(products!$D$2:$D$5,MATCH(E$1,products!$B$2:$B$5,0)),OR($B8&gt;=INDEX(products!$C$2:$C$5,MATCH(E$1,products!$B$2:$B$5,0)),AND($B8="",INDEX(products!$I$2:$I$5,MATCH(E$1,products!$B$2:$B$5,0))=1))),1,0)</f>
        <v>0</v>
      </c>
      <c r="F8" s="0" t="n">
        <f aca="false">IF(AND($D8&lt;=90,$C8&gt;=INDEX(products!$D$2:$D$5,MATCH(F$1,products!$B$2:$B$5,0)),OR($B8&gt;=INDEX(products!$C$2:$C$5,MATCH(F$1,products!$B$2:$B$5,0)),AND($B8="",INDEX(products!$I$2:$I$5,MATCH(F$1,products!$B$2:$B$5,0))=1))),1,0)</f>
        <v>0</v>
      </c>
      <c r="G8" s="0" t="n">
        <f aca="false">IF(AND($D8&lt;=90,$C8&gt;=INDEX(products!$D$2:$D$5,MATCH(G$1,products!$B$2:$B$5,0)),OR($B8&gt;=INDEX(products!$C$2:$C$5,MATCH(G$1,products!$B$2:$B$5,0)),AND($B8="",INDEX(products!$I$2:$I$5,MATCH(G$1,products!$B$2:$B$5,0))=1))),1,0)</f>
        <v>1</v>
      </c>
      <c r="H8" s="0" t="n">
        <f aca="false">IF(AND($D8&lt;=90,$C8&gt;=INDEX(products!$D$2:$D$5,MATCH(H$1,products!$B$2:$B$5,0)),OR($B8&gt;=INDEX(products!$C$2:$C$5,MATCH(H$1,products!$B$2:$B$5,0)),AND($B8="",INDEX(products!$I$2:$I$5,MATCH(H$1,products!$B$2:$B$5,0))=1))),1,0)</f>
        <v>1</v>
      </c>
      <c r="I8" s="0" t="str">
        <f aca="false">IFERROR(INDEX($E$1:$H$1,MATCH(1,E8:H8,0)),"No offer")</f>
        <v>Starter</v>
      </c>
    </row>
    <row r="9" customFormat="false" ht="15" hidden="false" customHeight="false" outlineLevel="0" collapsed="false">
      <c r="A9" s="0" t="n">
        <v>5008</v>
      </c>
      <c r="B9" s="0" t="n">
        <v>599</v>
      </c>
      <c r="C9" s="0" t="n">
        <v>11000000</v>
      </c>
      <c r="D9" s="0" t="n">
        <v>6</v>
      </c>
      <c r="E9" s="0" t="n">
        <f aca="false">IF(AND($D9&lt;=90,$C9&gt;=INDEX(products!$D$2:$D$5,MATCH(E$1,products!$B$2:$B$5,0)),OR($B9&gt;=INDEX(products!$C$2:$C$5,MATCH(E$1,products!$B$2:$B$5,0)),AND($B9="",INDEX(products!$I$2:$I$5,MATCH(E$1,products!$B$2:$B$5,0))=1))),1,0)</f>
        <v>0</v>
      </c>
      <c r="F9" s="0" t="n">
        <f aca="false">IF(AND($D9&lt;=90,$C9&gt;=INDEX(products!$D$2:$D$5,MATCH(F$1,products!$B$2:$B$5,0)),OR($B9&gt;=INDEX(products!$C$2:$C$5,MATCH(F$1,products!$B$2:$B$5,0)),AND($B9="",INDEX(products!$I$2:$I$5,MATCH(F$1,products!$B$2:$B$5,0))=1))),1,0)</f>
        <v>0</v>
      </c>
      <c r="G9" s="0" t="n">
        <f aca="false">IF(AND($D9&lt;=90,$C9&gt;=INDEX(products!$D$2:$D$5,MATCH(G$1,products!$B$2:$B$5,0)),OR($B9&gt;=INDEX(products!$C$2:$C$5,MATCH(G$1,products!$B$2:$B$5,0)),AND($B9="",INDEX(products!$I$2:$I$5,MATCH(G$1,products!$B$2:$B$5,0))=1))),1,0)</f>
        <v>1</v>
      </c>
      <c r="H9" s="0" t="n">
        <f aca="false">IF(AND($D9&lt;=90,$C9&gt;=INDEX(products!$D$2:$D$5,MATCH(H$1,products!$B$2:$B$5,0)),OR($B9&gt;=INDEX(products!$C$2:$C$5,MATCH(H$1,products!$B$2:$B$5,0)),AND($B9="",INDEX(products!$I$2:$I$5,MATCH(H$1,products!$B$2:$B$5,0))=1))),1,0)</f>
        <v>1</v>
      </c>
      <c r="I9" s="0" t="str">
        <f aca="false">IFERROR(INDEX($E$1:$H$1,MATCH(1,E9:H9,0)),"No offer")</f>
        <v>Starter</v>
      </c>
    </row>
    <row r="10" customFormat="false" ht="15" hidden="false" customHeight="false" outlineLevel="0" collapsed="false">
      <c r="A10" s="0" t="n">
        <v>5009</v>
      </c>
      <c r="B10" s="0" t="n">
        <v>468</v>
      </c>
      <c r="C10" s="0" t="n">
        <v>11000000</v>
      </c>
      <c r="D10" s="0" t="n">
        <v>325</v>
      </c>
      <c r="E10" s="0" t="n">
        <f aca="false">IF(AND($D10&lt;=90,$C10&gt;=INDEX(products!$D$2:$D$5,MATCH(E$1,products!$B$2:$B$5,0)),OR($B10&gt;=INDEX(products!$C$2:$C$5,MATCH(E$1,products!$B$2:$B$5,0)),AND($B10="",INDEX(products!$I$2:$I$5,MATCH(E$1,products!$B$2:$B$5,0))=1))),1,0)</f>
        <v>0</v>
      </c>
      <c r="F10" s="0" t="n">
        <f aca="false">IF(AND($D10&lt;=90,$C10&gt;=INDEX(products!$D$2:$D$5,MATCH(F$1,products!$B$2:$B$5,0)),OR($B10&gt;=INDEX(products!$C$2:$C$5,MATCH(F$1,products!$B$2:$B$5,0)),AND($B10="",INDEX(products!$I$2:$I$5,MATCH(F$1,products!$B$2:$B$5,0))=1))),1,0)</f>
        <v>0</v>
      </c>
      <c r="G10" s="0" t="n">
        <f aca="false">IF(AND($D10&lt;=90,$C10&gt;=INDEX(products!$D$2:$D$5,MATCH(G$1,products!$B$2:$B$5,0)),OR($B10&gt;=INDEX(products!$C$2:$C$5,MATCH(G$1,products!$B$2:$B$5,0)),AND($B10="",INDEX(products!$I$2:$I$5,MATCH(G$1,products!$B$2:$B$5,0))=1))),1,0)</f>
        <v>0</v>
      </c>
      <c r="H10" s="0" t="n">
        <f aca="false">IF(AND($D10&lt;=90,$C10&gt;=INDEX(products!$D$2:$D$5,MATCH(H$1,products!$B$2:$B$5,0)),OR($B10&gt;=INDEX(products!$C$2:$C$5,MATCH(H$1,products!$B$2:$B$5,0)),AND($B10="",INDEX(products!$I$2:$I$5,MATCH(H$1,products!$B$2:$B$5,0))=1))),1,0)</f>
        <v>0</v>
      </c>
      <c r="I10" s="0" t="str">
        <f aca="false">IFERROR(INDEX($E$1:$H$1,MATCH(1,E10:H10,0)),"No offer")</f>
        <v>No offer</v>
      </c>
    </row>
    <row r="11" customFormat="false" ht="15" hidden="false" customHeight="false" outlineLevel="0" collapsed="false">
      <c r="A11" s="0" t="n">
        <v>5010</v>
      </c>
      <c r="B11" s="0" t="n">
        <v>660</v>
      </c>
      <c r="C11" s="0" t="n">
        <v>7000000</v>
      </c>
      <c r="D11" s="0" t="n">
        <v>36</v>
      </c>
      <c r="E11" s="0" t="n">
        <f aca="false">IF(AND($D11&lt;=90,$C11&gt;=INDEX(products!$D$2:$D$5,MATCH(E$1,products!$B$2:$B$5,0)),OR($B11&gt;=INDEX(products!$C$2:$C$5,MATCH(E$1,products!$B$2:$B$5,0)),AND($B11="",INDEX(products!$I$2:$I$5,MATCH(E$1,products!$B$2:$B$5,0))=1))),1,0)</f>
        <v>0</v>
      </c>
      <c r="F11" s="0" t="n">
        <f aca="false">IF(AND($D11&lt;=90,$C11&gt;=INDEX(products!$D$2:$D$5,MATCH(F$1,products!$B$2:$B$5,0)),OR($B11&gt;=INDEX(products!$C$2:$C$5,MATCH(F$1,products!$B$2:$B$5,0)),AND($B11="",INDEX(products!$I$2:$I$5,MATCH(F$1,products!$B$2:$B$5,0))=1))),1,0)</f>
        <v>0</v>
      </c>
      <c r="G11" s="0" t="n">
        <f aca="false">IF(AND($D11&lt;=90,$C11&gt;=INDEX(products!$D$2:$D$5,MATCH(G$1,products!$B$2:$B$5,0)),OR($B11&gt;=INDEX(products!$C$2:$C$5,MATCH(G$1,products!$B$2:$B$5,0)),AND($B11="",INDEX(products!$I$2:$I$5,MATCH(G$1,products!$B$2:$B$5,0))=1))),1,0)</f>
        <v>1</v>
      </c>
      <c r="H11" s="0" t="n">
        <f aca="false">IF(AND($D11&lt;=90,$C11&gt;=INDEX(products!$D$2:$D$5,MATCH(H$1,products!$B$2:$B$5,0)),OR($B11&gt;=INDEX(products!$C$2:$C$5,MATCH(H$1,products!$B$2:$B$5,0)),AND($B11="",INDEX(products!$I$2:$I$5,MATCH(H$1,products!$B$2:$B$5,0))=1))),1,0)</f>
        <v>1</v>
      </c>
      <c r="I11" s="0" t="str">
        <f aca="false">IFERROR(INDEX($E$1:$H$1,MATCH(1,E11:H11,0)),"No offer")</f>
        <v>Starter</v>
      </c>
    </row>
    <row r="12" customFormat="false" ht="15" hidden="false" customHeight="false" outlineLevel="0" collapsed="false">
      <c r="A12" s="0" t="n">
        <v>5011</v>
      </c>
      <c r="C12" s="0" t="n">
        <v>6000000</v>
      </c>
      <c r="D12" s="0" t="n">
        <v>0</v>
      </c>
      <c r="E12" s="0" t="n">
        <f aca="false">IF(AND($D12&lt;=90,$C12&gt;=INDEX(products!$D$2:$D$5,MATCH(E$1,products!$B$2:$B$5,0)),OR($B12&gt;=INDEX(products!$C$2:$C$5,MATCH(E$1,products!$B$2:$B$5,0)),AND($B12="",INDEX(products!$I$2:$I$5,MATCH(E$1,products!$B$2:$B$5,0))=1))),1,0)</f>
        <v>0</v>
      </c>
      <c r="F12" s="0" t="n">
        <f aca="false">IF(AND($D12&lt;=90,$C12&gt;=INDEX(products!$D$2:$D$5,MATCH(F$1,products!$B$2:$B$5,0)),OR($B12&gt;=INDEX(products!$C$2:$C$5,MATCH(F$1,products!$B$2:$B$5,0)),AND($B12="",INDEX(products!$I$2:$I$5,MATCH(F$1,products!$B$2:$B$5,0))=1))),1,0)</f>
        <v>0</v>
      </c>
      <c r="G12" s="0" t="n">
        <f aca="false">IF(AND($D12&lt;=90,$C12&gt;=INDEX(products!$D$2:$D$5,MATCH(G$1,products!$B$2:$B$5,0)),OR($B12&gt;=INDEX(products!$C$2:$C$5,MATCH(G$1,products!$B$2:$B$5,0)),AND($B12="",INDEX(products!$I$2:$I$5,MATCH(G$1,products!$B$2:$B$5,0))=1))),1,0)</f>
        <v>0</v>
      </c>
      <c r="H12" s="0" t="n">
        <f aca="false">IF(AND($D12&lt;=90,$C12&gt;=INDEX(products!$D$2:$D$5,MATCH(H$1,products!$B$2:$B$5,0)),OR($B12&gt;=INDEX(products!$C$2:$C$5,MATCH(H$1,products!$B$2:$B$5,0)),AND($B12="",INDEX(products!$I$2:$I$5,MATCH(H$1,products!$B$2:$B$5,0))=1))),1,0)</f>
        <v>1</v>
      </c>
      <c r="I12" s="0" t="str">
        <f aca="false">IFERROR(INDEX($E$1:$H$1,MATCH(1,E12:H12,0)),"No offer")</f>
        <v>Micro</v>
      </c>
    </row>
    <row r="13" customFormat="false" ht="15" hidden="false" customHeight="false" outlineLevel="0" collapsed="false">
      <c r="A13" s="0" t="n">
        <v>5012</v>
      </c>
      <c r="C13" s="0" t="n">
        <v>17500000</v>
      </c>
      <c r="D13" s="0" t="n">
        <v>0</v>
      </c>
      <c r="E13" s="0" t="n">
        <f aca="false">IF(AND($D13&lt;=90,$C13&gt;=INDEX(products!$D$2:$D$5,MATCH(E$1,products!$B$2:$B$5,0)),OR($B13&gt;=INDEX(products!$C$2:$C$5,MATCH(E$1,products!$B$2:$B$5,0)),AND($B13="",INDEX(products!$I$2:$I$5,MATCH(E$1,products!$B$2:$B$5,0))=1))),1,0)</f>
        <v>0</v>
      </c>
      <c r="F13" s="0" t="n">
        <f aca="false">IF(AND($D13&lt;=90,$C13&gt;=INDEX(products!$D$2:$D$5,MATCH(F$1,products!$B$2:$B$5,0)),OR($B13&gt;=INDEX(products!$C$2:$C$5,MATCH(F$1,products!$B$2:$B$5,0)),AND($B13="",INDEX(products!$I$2:$I$5,MATCH(F$1,products!$B$2:$B$5,0))=1))),1,0)</f>
        <v>0</v>
      </c>
      <c r="G13" s="0" t="n">
        <f aca="false">IF(AND($D13&lt;=90,$C13&gt;=INDEX(products!$D$2:$D$5,MATCH(G$1,products!$B$2:$B$5,0)),OR($B13&gt;=INDEX(products!$C$2:$C$5,MATCH(G$1,products!$B$2:$B$5,0)),AND($B13="",INDEX(products!$I$2:$I$5,MATCH(G$1,products!$B$2:$B$5,0))=1))),1,0)</f>
        <v>0</v>
      </c>
      <c r="H13" s="0" t="n">
        <f aca="false">IF(AND($D13&lt;=90,$C13&gt;=INDEX(products!$D$2:$D$5,MATCH(H$1,products!$B$2:$B$5,0)),OR($B13&gt;=INDEX(products!$C$2:$C$5,MATCH(H$1,products!$B$2:$B$5,0)),AND($B13="",INDEX(products!$I$2:$I$5,MATCH(H$1,products!$B$2:$B$5,0))=1))),1,0)</f>
        <v>1</v>
      </c>
      <c r="I13" s="0" t="str">
        <f aca="false">IFERROR(INDEX($E$1:$H$1,MATCH(1,E13:H13,0)),"No offer")</f>
        <v>Micro</v>
      </c>
    </row>
    <row r="14" customFormat="false" ht="15" hidden="false" customHeight="false" outlineLevel="0" collapsed="false">
      <c r="A14" s="0" t="n">
        <v>5013</v>
      </c>
      <c r="B14" s="0" t="n">
        <v>518</v>
      </c>
      <c r="C14" s="0" t="n">
        <v>24000000</v>
      </c>
      <c r="D14" s="0" t="n">
        <v>65</v>
      </c>
      <c r="E14" s="0" t="n">
        <f aca="false">IF(AND($D14&lt;=90,$C14&gt;=INDEX(products!$D$2:$D$5,MATCH(E$1,products!$B$2:$B$5,0)),OR($B14&gt;=INDEX(products!$C$2:$C$5,MATCH(E$1,products!$B$2:$B$5,0)),AND($B14="",INDEX(products!$I$2:$I$5,MATCH(E$1,products!$B$2:$B$5,0))=1))),1,0)</f>
        <v>0</v>
      </c>
      <c r="F14" s="0" t="n">
        <f aca="false">IF(AND($D14&lt;=90,$C14&gt;=INDEX(products!$D$2:$D$5,MATCH(F$1,products!$B$2:$B$5,0)),OR($B14&gt;=INDEX(products!$C$2:$C$5,MATCH(F$1,products!$B$2:$B$5,0)),AND($B14="",INDEX(products!$I$2:$I$5,MATCH(F$1,products!$B$2:$B$5,0))=1))),1,0)</f>
        <v>0</v>
      </c>
      <c r="G14" s="0" t="n">
        <f aca="false">IF(AND($D14&lt;=90,$C14&gt;=INDEX(products!$D$2:$D$5,MATCH(G$1,products!$B$2:$B$5,0)),OR($B14&gt;=INDEX(products!$C$2:$C$5,MATCH(G$1,products!$B$2:$B$5,0)),AND($B14="",INDEX(products!$I$2:$I$5,MATCH(G$1,products!$B$2:$B$5,0))=1))),1,0)</f>
        <v>1</v>
      </c>
      <c r="H14" s="0" t="n">
        <f aca="false">IF(AND($D14&lt;=90,$C14&gt;=INDEX(products!$D$2:$D$5,MATCH(H$1,products!$B$2:$B$5,0)),OR($B14&gt;=INDEX(products!$C$2:$C$5,MATCH(H$1,products!$B$2:$B$5,0)),AND($B14="",INDEX(products!$I$2:$I$5,MATCH(H$1,products!$B$2:$B$5,0))=1))),1,0)</f>
        <v>1</v>
      </c>
      <c r="I14" s="0" t="str">
        <f aca="false">IFERROR(INDEX($E$1:$H$1,MATCH(1,E14:H14,0)),"No offer")</f>
        <v>Starter</v>
      </c>
    </row>
    <row r="15" customFormat="false" ht="15" hidden="false" customHeight="false" outlineLevel="0" collapsed="false">
      <c r="A15" s="0" t="n">
        <v>5014</v>
      </c>
      <c r="C15" s="0" t="n">
        <v>12500000</v>
      </c>
      <c r="D15" s="0" t="n">
        <v>0</v>
      </c>
      <c r="E15" s="0" t="n">
        <f aca="false">IF(AND($D15&lt;=90,$C15&gt;=INDEX(products!$D$2:$D$5,MATCH(E$1,products!$B$2:$B$5,0)),OR($B15&gt;=INDEX(products!$C$2:$C$5,MATCH(E$1,products!$B$2:$B$5,0)),AND($B15="",INDEX(products!$I$2:$I$5,MATCH(E$1,products!$B$2:$B$5,0))=1))),1,0)</f>
        <v>0</v>
      </c>
      <c r="F15" s="0" t="n">
        <f aca="false">IF(AND($D15&lt;=90,$C15&gt;=INDEX(products!$D$2:$D$5,MATCH(F$1,products!$B$2:$B$5,0)),OR($B15&gt;=INDEX(products!$C$2:$C$5,MATCH(F$1,products!$B$2:$B$5,0)),AND($B15="",INDEX(products!$I$2:$I$5,MATCH(F$1,products!$B$2:$B$5,0))=1))),1,0)</f>
        <v>0</v>
      </c>
      <c r="G15" s="0" t="n">
        <f aca="false">IF(AND($D15&lt;=90,$C15&gt;=INDEX(products!$D$2:$D$5,MATCH(G$1,products!$B$2:$B$5,0)),OR($B15&gt;=INDEX(products!$C$2:$C$5,MATCH(G$1,products!$B$2:$B$5,0)),AND($B15="",INDEX(products!$I$2:$I$5,MATCH(G$1,products!$B$2:$B$5,0))=1))),1,0)</f>
        <v>0</v>
      </c>
      <c r="H15" s="0" t="n">
        <f aca="false">IF(AND($D15&lt;=90,$C15&gt;=INDEX(products!$D$2:$D$5,MATCH(H$1,products!$B$2:$B$5,0)),OR($B15&gt;=INDEX(products!$C$2:$C$5,MATCH(H$1,products!$B$2:$B$5,0)),AND($B15="",INDEX(products!$I$2:$I$5,MATCH(H$1,products!$B$2:$B$5,0))=1))),1,0)</f>
        <v>1</v>
      </c>
      <c r="I15" s="0" t="str">
        <f aca="false">IFERROR(INDEX($E$1:$H$1,MATCH(1,E15:H15,0)),"No offer")</f>
        <v>Micro</v>
      </c>
    </row>
    <row r="16" customFormat="false" ht="15" hidden="false" customHeight="false" outlineLevel="0" collapsed="false">
      <c r="A16" s="0" t="n">
        <v>5015</v>
      </c>
      <c r="B16" s="0" t="n">
        <v>442</v>
      </c>
      <c r="C16" s="0" t="n">
        <v>9500000</v>
      </c>
      <c r="D16" s="0" t="n">
        <v>183</v>
      </c>
      <c r="E16" s="0" t="n">
        <f aca="false">IF(AND($D16&lt;=90,$C16&gt;=INDEX(products!$D$2:$D$5,MATCH(E$1,products!$B$2:$B$5,0)),OR($B16&gt;=INDEX(products!$C$2:$C$5,MATCH(E$1,products!$B$2:$B$5,0)),AND($B16="",INDEX(products!$I$2:$I$5,MATCH(E$1,products!$B$2:$B$5,0))=1))),1,0)</f>
        <v>0</v>
      </c>
      <c r="F16" s="0" t="n">
        <f aca="false">IF(AND($D16&lt;=90,$C16&gt;=INDEX(products!$D$2:$D$5,MATCH(F$1,products!$B$2:$B$5,0)),OR($B16&gt;=INDEX(products!$C$2:$C$5,MATCH(F$1,products!$B$2:$B$5,0)),AND($B16="",INDEX(products!$I$2:$I$5,MATCH(F$1,products!$B$2:$B$5,0))=1))),1,0)</f>
        <v>0</v>
      </c>
      <c r="G16" s="0" t="n">
        <f aca="false">IF(AND($D16&lt;=90,$C16&gt;=INDEX(products!$D$2:$D$5,MATCH(G$1,products!$B$2:$B$5,0)),OR($B16&gt;=INDEX(products!$C$2:$C$5,MATCH(G$1,products!$B$2:$B$5,0)),AND($B16="",INDEX(products!$I$2:$I$5,MATCH(G$1,products!$B$2:$B$5,0))=1))),1,0)</f>
        <v>0</v>
      </c>
      <c r="H16" s="0" t="n">
        <f aca="false">IF(AND($D16&lt;=90,$C16&gt;=INDEX(products!$D$2:$D$5,MATCH(H$1,products!$B$2:$B$5,0)),OR($B16&gt;=INDEX(products!$C$2:$C$5,MATCH(H$1,products!$B$2:$B$5,0)),AND($B16="",INDEX(products!$I$2:$I$5,MATCH(H$1,products!$B$2:$B$5,0))=1))),1,0)</f>
        <v>0</v>
      </c>
      <c r="I16" s="0" t="str">
        <f aca="false">IFERROR(INDEX($E$1:$H$1,MATCH(1,E16:H16,0)),"No offer")</f>
        <v>No offer</v>
      </c>
    </row>
    <row r="17" customFormat="false" ht="15" hidden="false" customHeight="false" outlineLevel="0" collapsed="false">
      <c r="A17" s="0" t="n">
        <v>5016</v>
      </c>
      <c r="C17" s="0" t="n">
        <v>26000000</v>
      </c>
      <c r="D17" s="0" t="n">
        <v>0</v>
      </c>
      <c r="E17" s="0" t="n">
        <f aca="false">IF(AND($D17&lt;=90,$C17&gt;=INDEX(products!$D$2:$D$5,MATCH(E$1,products!$B$2:$B$5,0)),OR($B17&gt;=INDEX(products!$C$2:$C$5,MATCH(E$1,products!$B$2:$B$5,0)),AND($B17="",INDEX(products!$I$2:$I$5,MATCH(E$1,products!$B$2:$B$5,0))=1))),1,0)</f>
        <v>0</v>
      </c>
      <c r="F17" s="0" t="n">
        <f aca="false">IF(AND($D17&lt;=90,$C17&gt;=INDEX(products!$D$2:$D$5,MATCH(F$1,products!$B$2:$B$5,0)),OR($B17&gt;=INDEX(products!$C$2:$C$5,MATCH(F$1,products!$B$2:$B$5,0)),AND($B17="",INDEX(products!$I$2:$I$5,MATCH(F$1,products!$B$2:$B$5,0))=1))),1,0)</f>
        <v>0</v>
      </c>
      <c r="G17" s="0" t="n">
        <f aca="false">IF(AND($D17&lt;=90,$C17&gt;=INDEX(products!$D$2:$D$5,MATCH(G$1,products!$B$2:$B$5,0)),OR($B17&gt;=INDEX(products!$C$2:$C$5,MATCH(G$1,products!$B$2:$B$5,0)),AND($B17="",INDEX(products!$I$2:$I$5,MATCH(G$1,products!$B$2:$B$5,0))=1))),1,0)</f>
        <v>0</v>
      </c>
      <c r="H17" s="0" t="n">
        <f aca="false">IF(AND($D17&lt;=90,$C17&gt;=INDEX(products!$D$2:$D$5,MATCH(H$1,products!$B$2:$B$5,0)),OR($B17&gt;=INDEX(products!$C$2:$C$5,MATCH(H$1,products!$B$2:$B$5,0)),AND($B17="",INDEX(products!$I$2:$I$5,MATCH(H$1,products!$B$2:$B$5,0))=1))),1,0)</f>
        <v>1</v>
      </c>
      <c r="I17" s="0" t="str">
        <f aca="false">IFERROR(INDEX($E$1:$H$1,MATCH(1,E17:H17,0)),"No offer")</f>
        <v>Micro</v>
      </c>
    </row>
    <row r="18" customFormat="false" ht="15" hidden="false" customHeight="false" outlineLevel="0" collapsed="false">
      <c r="A18" s="0" t="n">
        <v>5017</v>
      </c>
      <c r="C18" s="0" t="n">
        <v>6000000</v>
      </c>
      <c r="D18" s="0" t="n">
        <v>0</v>
      </c>
      <c r="E18" s="0" t="n">
        <f aca="false">IF(AND($D18&lt;=90,$C18&gt;=INDEX(products!$D$2:$D$5,MATCH(E$1,products!$B$2:$B$5,0)),OR($B18&gt;=INDEX(products!$C$2:$C$5,MATCH(E$1,products!$B$2:$B$5,0)),AND($B18="",INDEX(products!$I$2:$I$5,MATCH(E$1,products!$B$2:$B$5,0))=1))),1,0)</f>
        <v>0</v>
      </c>
      <c r="F18" s="0" t="n">
        <f aca="false">IF(AND($D18&lt;=90,$C18&gt;=INDEX(products!$D$2:$D$5,MATCH(F$1,products!$B$2:$B$5,0)),OR($B18&gt;=INDEX(products!$C$2:$C$5,MATCH(F$1,products!$B$2:$B$5,0)),AND($B18="",INDEX(products!$I$2:$I$5,MATCH(F$1,products!$B$2:$B$5,0))=1))),1,0)</f>
        <v>0</v>
      </c>
      <c r="G18" s="0" t="n">
        <f aca="false">IF(AND($D18&lt;=90,$C18&gt;=INDEX(products!$D$2:$D$5,MATCH(G$1,products!$B$2:$B$5,0)),OR($B18&gt;=INDEX(products!$C$2:$C$5,MATCH(G$1,products!$B$2:$B$5,0)),AND($B18="",INDEX(products!$I$2:$I$5,MATCH(G$1,products!$B$2:$B$5,0))=1))),1,0)</f>
        <v>0</v>
      </c>
      <c r="H18" s="0" t="n">
        <f aca="false">IF(AND($D18&lt;=90,$C18&gt;=INDEX(products!$D$2:$D$5,MATCH(H$1,products!$B$2:$B$5,0)),OR($B18&gt;=INDEX(products!$C$2:$C$5,MATCH(H$1,products!$B$2:$B$5,0)),AND($B18="",INDEX(products!$I$2:$I$5,MATCH(H$1,products!$B$2:$B$5,0))=1))),1,0)</f>
        <v>1</v>
      </c>
      <c r="I18" s="0" t="str">
        <f aca="false">IFERROR(INDEX($E$1:$H$1,MATCH(1,E18:H18,0)),"No offer")</f>
        <v>Micro</v>
      </c>
    </row>
    <row r="19" customFormat="false" ht="15" hidden="false" customHeight="false" outlineLevel="0" collapsed="false">
      <c r="A19" s="0" t="n">
        <v>5018</v>
      </c>
      <c r="B19" s="0" t="n">
        <v>631</v>
      </c>
      <c r="C19" s="0" t="n">
        <v>14500000</v>
      </c>
      <c r="D19" s="0" t="n">
        <v>6</v>
      </c>
      <c r="E19" s="0" t="n">
        <f aca="false">IF(AND($D19&lt;=90,$C19&gt;=INDEX(products!$D$2:$D$5,MATCH(E$1,products!$B$2:$B$5,0)),OR($B19&gt;=INDEX(products!$C$2:$C$5,MATCH(E$1,products!$B$2:$B$5,0)),AND($B19="",INDEX(products!$I$2:$I$5,MATCH(E$1,products!$B$2:$B$5,0))=1))),1,0)</f>
        <v>0</v>
      </c>
      <c r="F19" s="0" t="n">
        <f aca="false">IF(AND($D19&lt;=90,$C19&gt;=INDEX(products!$D$2:$D$5,MATCH(F$1,products!$B$2:$B$5,0)),OR($B19&gt;=INDEX(products!$C$2:$C$5,MATCH(F$1,products!$B$2:$B$5,0)),AND($B19="",INDEX(products!$I$2:$I$5,MATCH(F$1,products!$B$2:$B$5,0))=1))),1,0)</f>
        <v>1</v>
      </c>
      <c r="G19" s="0" t="n">
        <f aca="false">IF(AND($D19&lt;=90,$C19&gt;=INDEX(products!$D$2:$D$5,MATCH(G$1,products!$B$2:$B$5,0)),OR($B19&gt;=INDEX(products!$C$2:$C$5,MATCH(G$1,products!$B$2:$B$5,0)),AND($B19="",INDEX(products!$I$2:$I$5,MATCH(G$1,products!$B$2:$B$5,0))=1))),1,0)</f>
        <v>1</v>
      </c>
      <c r="H19" s="0" t="n">
        <f aca="false">IF(AND($D19&lt;=90,$C19&gt;=INDEX(products!$D$2:$D$5,MATCH(H$1,products!$B$2:$B$5,0)),OR($B19&gt;=INDEX(products!$C$2:$C$5,MATCH(H$1,products!$B$2:$B$5,0)),AND($B19="",INDEX(products!$I$2:$I$5,MATCH(H$1,products!$B$2:$B$5,0))=1))),1,0)</f>
        <v>1</v>
      </c>
      <c r="I19" s="0" t="str">
        <f aca="false">IFERROR(INDEX($E$1:$H$1,MATCH(1,E19:H19,0)),"No offer")</f>
        <v>Standard</v>
      </c>
    </row>
    <row r="20" customFormat="false" ht="15" hidden="false" customHeight="false" outlineLevel="0" collapsed="false">
      <c r="A20" s="0" t="n">
        <v>5019</v>
      </c>
      <c r="B20" s="0" t="n">
        <v>699</v>
      </c>
      <c r="C20" s="0" t="n">
        <v>21000000</v>
      </c>
      <c r="D20" s="0" t="n">
        <v>8</v>
      </c>
      <c r="E20" s="0" t="n">
        <f aca="false">IF(AND($D20&lt;=90,$C20&gt;=INDEX(products!$D$2:$D$5,MATCH(E$1,products!$B$2:$B$5,0)),OR($B20&gt;=INDEX(products!$C$2:$C$5,MATCH(E$1,products!$B$2:$B$5,0)),AND($B20="",INDEX(products!$I$2:$I$5,MATCH(E$1,products!$B$2:$B$5,0))=1))),1,0)</f>
        <v>0</v>
      </c>
      <c r="F20" s="0" t="n">
        <f aca="false">IF(AND($D20&lt;=90,$C20&gt;=INDEX(products!$D$2:$D$5,MATCH(F$1,products!$B$2:$B$5,0)),OR($B20&gt;=INDEX(products!$C$2:$C$5,MATCH(F$1,products!$B$2:$B$5,0)),AND($B20="",INDEX(products!$I$2:$I$5,MATCH(F$1,products!$B$2:$B$5,0))=1))),1,0)</f>
        <v>1</v>
      </c>
      <c r="G20" s="0" t="n">
        <f aca="false">IF(AND($D20&lt;=90,$C20&gt;=INDEX(products!$D$2:$D$5,MATCH(G$1,products!$B$2:$B$5,0)),OR($B20&gt;=INDEX(products!$C$2:$C$5,MATCH(G$1,products!$B$2:$B$5,0)),AND($B20="",INDEX(products!$I$2:$I$5,MATCH(G$1,products!$B$2:$B$5,0))=1))),1,0)</f>
        <v>1</v>
      </c>
      <c r="H20" s="0" t="n">
        <f aca="false">IF(AND($D20&lt;=90,$C20&gt;=INDEX(products!$D$2:$D$5,MATCH(H$1,products!$B$2:$B$5,0)),OR($B20&gt;=INDEX(products!$C$2:$C$5,MATCH(H$1,products!$B$2:$B$5,0)),AND($B20="",INDEX(products!$I$2:$I$5,MATCH(H$1,products!$B$2:$B$5,0))=1))),1,0)</f>
        <v>1</v>
      </c>
      <c r="I20" s="0" t="str">
        <f aca="false">IFERROR(INDEX($E$1:$H$1,MATCH(1,E20:H20,0)),"No offer")</f>
        <v>Standard</v>
      </c>
    </row>
    <row r="21" customFormat="false" ht="15" hidden="false" customHeight="false" outlineLevel="0" collapsed="false">
      <c r="A21" s="0" t="n">
        <v>5020</v>
      </c>
      <c r="C21" s="0" t="n">
        <v>26000000</v>
      </c>
      <c r="D21" s="0" t="n">
        <v>0</v>
      </c>
      <c r="E21" s="0" t="n">
        <f aca="false">IF(AND($D21&lt;=90,$C21&gt;=INDEX(products!$D$2:$D$5,MATCH(E$1,products!$B$2:$B$5,0)),OR($B21&gt;=INDEX(products!$C$2:$C$5,MATCH(E$1,products!$B$2:$B$5,0)),AND($B21="",INDEX(products!$I$2:$I$5,MATCH(E$1,products!$B$2:$B$5,0))=1))),1,0)</f>
        <v>0</v>
      </c>
      <c r="F21" s="0" t="n">
        <f aca="false">IF(AND($D21&lt;=90,$C21&gt;=INDEX(products!$D$2:$D$5,MATCH(F$1,products!$B$2:$B$5,0)),OR($B21&gt;=INDEX(products!$C$2:$C$5,MATCH(F$1,products!$B$2:$B$5,0)),AND($B21="",INDEX(products!$I$2:$I$5,MATCH(F$1,products!$B$2:$B$5,0))=1))),1,0)</f>
        <v>0</v>
      </c>
      <c r="G21" s="0" t="n">
        <f aca="false">IF(AND($D21&lt;=90,$C21&gt;=INDEX(products!$D$2:$D$5,MATCH(G$1,products!$B$2:$B$5,0)),OR($B21&gt;=INDEX(products!$C$2:$C$5,MATCH(G$1,products!$B$2:$B$5,0)),AND($B21="",INDEX(products!$I$2:$I$5,MATCH(G$1,products!$B$2:$B$5,0))=1))),1,0)</f>
        <v>0</v>
      </c>
      <c r="H21" s="0" t="n">
        <f aca="false">IF(AND($D21&lt;=90,$C21&gt;=INDEX(products!$D$2:$D$5,MATCH(H$1,products!$B$2:$B$5,0)),OR($B21&gt;=INDEX(products!$C$2:$C$5,MATCH(H$1,products!$B$2:$B$5,0)),AND($B21="",INDEX(products!$I$2:$I$5,MATCH(H$1,products!$B$2:$B$5,0))=1))),1,0)</f>
        <v>1</v>
      </c>
      <c r="I21" s="0" t="str">
        <f aca="false">IFERROR(INDEX($E$1:$H$1,MATCH(1,E21:H21,0)),"No offer")</f>
        <v>Micro</v>
      </c>
    </row>
    <row r="22" customFormat="false" ht="15" hidden="false" customHeight="false" outlineLevel="0" collapsed="false">
      <c r="A22" s="0" t="n">
        <v>5021</v>
      </c>
      <c r="B22" s="0" t="n">
        <v>577</v>
      </c>
      <c r="C22" s="0" t="n">
        <v>8500000</v>
      </c>
      <c r="D22" s="0" t="n">
        <v>77</v>
      </c>
      <c r="E22" s="0" t="n">
        <f aca="false">IF(AND($D22&lt;=90,$C22&gt;=INDEX(products!$D$2:$D$5,MATCH(E$1,products!$B$2:$B$5,0)),OR($B22&gt;=INDEX(products!$C$2:$C$5,MATCH(E$1,products!$B$2:$B$5,0)),AND($B22="",INDEX(products!$I$2:$I$5,MATCH(E$1,products!$B$2:$B$5,0))=1))),1,0)</f>
        <v>0</v>
      </c>
      <c r="F22" s="0" t="n">
        <f aca="false">IF(AND($D22&lt;=90,$C22&gt;=INDEX(products!$D$2:$D$5,MATCH(F$1,products!$B$2:$B$5,0)),OR($B22&gt;=INDEX(products!$C$2:$C$5,MATCH(F$1,products!$B$2:$B$5,0)),AND($B22="",INDEX(products!$I$2:$I$5,MATCH(F$1,products!$B$2:$B$5,0))=1))),1,0)</f>
        <v>0</v>
      </c>
      <c r="G22" s="0" t="n">
        <f aca="false">IF(AND($D22&lt;=90,$C22&gt;=INDEX(products!$D$2:$D$5,MATCH(G$1,products!$B$2:$B$5,0)),OR($B22&gt;=INDEX(products!$C$2:$C$5,MATCH(G$1,products!$B$2:$B$5,0)),AND($B22="",INDEX(products!$I$2:$I$5,MATCH(G$1,products!$B$2:$B$5,0))=1))),1,0)</f>
        <v>1</v>
      </c>
      <c r="H22" s="0" t="n">
        <f aca="false">IF(AND($D22&lt;=90,$C22&gt;=INDEX(products!$D$2:$D$5,MATCH(H$1,products!$B$2:$B$5,0)),OR($B22&gt;=INDEX(products!$C$2:$C$5,MATCH(H$1,products!$B$2:$B$5,0)),AND($B22="",INDEX(products!$I$2:$I$5,MATCH(H$1,products!$B$2:$B$5,0))=1))),1,0)</f>
        <v>1</v>
      </c>
      <c r="I22" s="0" t="str">
        <f aca="false">IFERROR(INDEX($E$1:$H$1,MATCH(1,E22:H22,0)),"No offer")</f>
        <v>Starter</v>
      </c>
    </row>
    <row r="23" customFormat="false" ht="15" hidden="false" customHeight="false" outlineLevel="0" collapsed="false">
      <c r="A23" s="0" t="n">
        <v>5022</v>
      </c>
      <c r="B23" s="0" t="n">
        <v>564</v>
      </c>
      <c r="C23" s="0" t="n">
        <v>9500000</v>
      </c>
      <c r="D23" s="0" t="n">
        <v>9</v>
      </c>
      <c r="E23" s="0" t="n">
        <f aca="false">IF(AND($D23&lt;=90,$C23&gt;=INDEX(products!$D$2:$D$5,MATCH(E$1,products!$B$2:$B$5,0)),OR($B23&gt;=INDEX(products!$C$2:$C$5,MATCH(E$1,products!$B$2:$B$5,0)),AND($B23="",INDEX(products!$I$2:$I$5,MATCH(E$1,products!$B$2:$B$5,0))=1))),1,0)</f>
        <v>0</v>
      </c>
      <c r="F23" s="0" t="n">
        <f aca="false">IF(AND($D23&lt;=90,$C23&gt;=INDEX(products!$D$2:$D$5,MATCH(F$1,products!$B$2:$B$5,0)),OR($B23&gt;=INDEX(products!$C$2:$C$5,MATCH(F$1,products!$B$2:$B$5,0)),AND($B23="",INDEX(products!$I$2:$I$5,MATCH(F$1,products!$B$2:$B$5,0))=1))),1,0)</f>
        <v>0</v>
      </c>
      <c r="G23" s="0" t="n">
        <f aca="false">IF(AND($D23&lt;=90,$C23&gt;=INDEX(products!$D$2:$D$5,MATCH(G$1,products!$B$2:$B$5,0)),OR($B23&gt;=INDEX(products!$C$2:$C$5,MATCH(G$1,products!$B$2:$B$5,0)),AND($B23="",INDEX(products!$I$2:$I$5,MATCH(G$1,products!$B$2:$B$5,0))=1))),1,0)</f>
        <v>1</v>
      </c>
      <c r="H23" s="0" t="n">
        <f aca="false">IF(AND($D23&lt;=90,$C23&gt;=INDEX(products!$D$2:$D$5,MATCH(H$1,products!$B$2:$B$5,0)),OR($B23&gt;=INDEX(products!$C$2:$C$5,MATCH(H$1,products!$B$2:$B$5,0)),AND($B23="",INDEX(products!$I$2:$I$5,MATCH(H$1,products!$B$2:$B$5,0))=1))),1,0)</f>
        <v>1</v>
      </c>
      <c r="I23" s="0" t="str">
        <f aca="false">IFERROR(INDEX($E$1:$H$1,MATCH(1,E23:H23,0)),"No offer")</f>
        <v>Starter</v>
      </c>
    </row>
    <row r="24" customFormat="false" ht="15" hidden="false" customHeight="false" outlineLevel="0" collapsed="false">
      <c r="A24" s="0" t="n">
        <v>5023</v>
      </c>
      <c r="C24" s="0" t="n">
        <v>6000000</v>
      </c>
      <c r="D24" s="0" t="n">
        <v>0</v>
      </c>
      <c r="E24" s="0" t="n">
        <f aca="false">IF(AND($D24&lt;=90,$C24&gt;=INDEX(products!$D$2:$D$5,MATCH(E$1,products!$B$2:$B$5,0)),OR($B24&gt;=INDEX(products!$C$2:$C$5,MATCH(E$1,products!$B$2:$B$5,0)),AND($B24="",INDEX(products!$I$2:$I$5,MATCH(E$1,products!$B$2:$B$5,0))=1))),1,0)</f>
        <v>0</v>
      </c>
      <c r="F24" s="0" t="n">
        <f aca="false">IF(AND($D24&lt;=90,$C24&gt;=INDEX(products!$D$2:$D$5,MATCH(F$1,products!$B$2:$B$5,0)),OR($B24&gt;=INDEX(products!$C$2:$C$5,MATCH(F$1,products!$B$2:$B$5,0)),AND($B24="",INDEX(products!$I$2:$I$5,MATCH(F$1,products!$B$2:$B$5,0))=1))),1,0)</f>
        <v>0</v>
      </c>
      <c r="G24" s="0" t="n">
        <f aca="false">IF(AND($D24&lt;=90,$C24&gt;=INDEX(products!$D$2:$D$5,MATCH(G$1,products!$B$2:$B$5,0)),OR($B24&gt;=INDEX(products!$C$2:$C$5,MATCH(G$1,products!$B$2:$B$5,0)),AND($B24="",INDEX(products!$I$2:$I$5,MATCH(G$1,products!$B$2:$B$5,0))=1))),1,0)</f>
        <v>0</v>
      </c>
      <c r="H24" s="0" t="n">
        <f aca="false">IF(AND($D24&lt;=90,$C24&gt;=INDEX(products!$D$2:$D$5,MATCH(H$1,products!$B$2:$B$5,0)),OR($B24&gt;=INDEX(products!$C$2:$C$5,MATCH(H$1,products!$B$2:$B$5,0)),AND($B24="",INDEX(products!$I$2:$I$5,MATCH(H$1,products!$B$2:$B$5,0))=1))),1,0)</f>
        <v>1</v>
      </c>
      <c r="I24" s="0" t="str">
        <f aca="false">IFERROR(INDEX($E$1:$H$1,MATCH(1,E24:H24,0)),"No offer")</f>
        <v>Micro</v>
      </c>
    </row>
    <row r="25" customFormat="false" ht="15" hidden="false" customHeight="false" outlineLevel="0" collapsed="false">
      <c r="A25" s="0" t="n">
        <v>5024</v>
      </c>
      <c r="B25" s="0" t="n">
        <v>760</v>
      </c>
      <c r="C25" s="0" t="n">
        <v>45000000</v>
      </c>
      <c r="D25" s="0" t="n">
        <v>3</v>
      </c>
      <c r="E25" s="0" t="n">
        <f aca="false">IF(AND($D25&lt;=90,$C25&gt;=INDEX(products!$D$2:$D$5,MATCH(E$1,products!$B$2:$B$5,0)),OR($B25&gt;=INDEX(products!$C$2:$C$5,MATCH(E$1,products!$B$2:$B$5,0)),AND($B25="",INDEX(products!$I$2:$I$5,MATCH(E$1,products!$B$2:$B$5,0))=1))),1,0)</f>
        <v>1</v>
      </c>
      <c r="F25" s="0" t="n">
        <f aca="false">IF(AND($D25&lt;=90,$C25&gt;=INDEX(products!$D$2:$D$5,MATCH(F$1,products!$B$2:$B$5,0)),OR($B25&gt;=INDEX(products!$C$2:$C$5,MATCH(F$1,products!$B$2:$B$5,0)),AND($B25="",INDEX(products!$I$2:$I$5,MATCH(F$1,products!$B$2:$B$5,0))=1))),1,0)</f>
        <v>1</v>
      </c>
      <c r="G25" s="0" t="n">
        <f aca="false">IF(AND($D25&lt;=90,$C25&gt;=INDEX(products!$D$2:$D$5,MATCH(G$1,products!$B$2:$B$5,0)),OR($B25&gt;=INDEX(products!$C$2:$C$5,MATCH(G$1,products!$B$2:$B$5,0)),AND($B25="",INDEX(products!$I$2:$I$5,MATCH(G$1,products!$B$2:$B$5,0))=1))),1,0)</f>
        <v>1</v>
      </c>
      <c r="H25" s="0" t="n">
        <f aca="false">IF(AND($D25&lt;=90,$C25&gt;=INDEX(products!$D$2:$D$5,MATCH(H$1,products!$B$2:$B$5,0)),OR($B25&gt;=INDEX(products!$C$2:$C$5,MATCH(H$1,products!$B$2:$B$5,0)),AND($B25="",INDEX(products!$I$2:$I$5,MATCH(H$1,products!$B$2:$B$5,0))=1))),1,0)</f>
        <v>1</v>
      </c>
      <c r="I25" s="0" t="str">
        <f aca="false">IFERROR(INDEX($E$1:$H$1,MATCH(1,E25:H25,0)),"No offer")</f>
        <v>Prime</v>
      </c>
    </row>
    <row r="26" customFormat="false" ht="15" hidden="false" customHeight="false" outlineLevel="0" collapsed="false">
      <c r="A26" s="0" t="n">
        <v>5025</v>
      </c>
      <c r="B26" s="0" t="n">
        <v>563</v>
      </c>
      <c r="C26" s="0" t="n">
        <v>13000000</v>
      </c>
      <c r="D26" s="0" t="n">
        <v>68</v>
      </c>
      <c r="E26" s="0" t="n">
        <f aca="false">IF(AND($D26&lt;=90,$C26&gt;=INDEX(products!$D$2:$D$5,MATCH(E$1,products!$B$2:$B$5,0)),OR($B26&gt;=INDEX(products!$C$2:$C$5,MATCH(E$1,products!$B$2:$B$5,0)),AND($B26="",INDEX(products!$I$2:$I$5,MATCH(E$1,products!$B$2:$B$5,0))=1))),1,0)</f>
        <v>0</v>
      </c>
      <c r="F26" s="0" t="n">
        <f aca="false">IF(AND($D26&lt;=90,$C26&gt;=INDEX(products!$D$2:$D$5,MATCH(F$1,products!$B$2:$B$5,0)),OR($B26&gt;=INDEX(products!$C$2:$C$5,MATCH(F$1,products!$B$2:$B$5,0)),AND($B26="",INDEX(products!$I$2:$I$5,MATCH(F$1,products!$B$2:$B$5,0))=1))),1,0)</f>
        <v>0</v>
      </c>
      <c r="G26" s="0" t="n">
        <f aca="false">IF(AND($D26&lt;=90,$C26&gt;=INDEX(products!$D$2:$D$5,MATCH(G$1,products!$B$2:$B$5,0)),OR($B26&gt;=INDEX(products!$C$2:$C$5,MATCH(G$1,products!$B$2:$B$5,0)),AND($B26="",INDEX(products!$I$2:$I$5,MATCH(G$1,products!$B$2:$B$5,0))=1))),1,0)</f>
        <v>1</v>
      </c>
      <c r="H26" s="0" t="n">
        <f aca="false">IF(AND($D26&lt;=90,$C26&gt;=INDEX(products!$D$2:$D$5,MATCH(H$1,products!$B$2:$B$5,0)),OR($B26&gt;=INDEX(products!$C$2:$C$5,MATCH(H$1,products!$B$2:$B$5,0)),AND($B26="",INDEX(products!$I$2:$I$5,MATCH(H$1,products!$B$2:$B$5,0))=1))),1,0)</f>
        <v>1</v>
      </c>
      <c r="I26" s="0" t="str">
        <f aca="false">IFERROR(INDEX($E$1:$H$1,MATCH(1,E26:H26,0)),"No offer")</f>
        <v>Starter</v>
      </c>
    </row>
    <row r="27" customFormat="false" ht="15" hidden="false" customHeight="false" outlineLevel="0" collapsed="false">
      <c r="A27" s="0" t="n">
        <v>5026</v>
      </c>
      <c r="B27" s="0" t="n">
        <v>642</v>
      </c>
      <c r="C27" s="0" t="n">
        <v>4500000</v>
      </c>
      <c r="D27" s="0" t="n">
        <v>6</v>
      </c>
      <c r="E27" s="0" t="n">
        <f aca="false">IF(AND($D27&lt;=90,$C27&gt;=INDEX(products!$D$2:$D$5,MATCH(E$1,products!$B$2:$B$5,0)),OR($B27&gt;=INDEX(products!$C$2:$C$5,MATCH(E$1,products!$B$2:$B$5,0)),AND($B27="",INDEX(products!$I$2:$I$5,MATCH(E$1,products!$B$2:$B$5,0))=1))),1,0)</f>
        <v>0</v>
      </c>
      <c r="F27" s="0" t="n">
        <f aca="false">IF(AND($D27&lt;=90,$C27&gt;=INDEX(products!$D$2:$D$5,MATCH(F$1,products!$B$2:$B$5,0)),OR($B27&gt;=INDEX(products!$C$2:$C$5,MATCH(F$1,products!$B$2:$B$5,0)),AND($B27="",INDEX(products!$I$2:$I$5,MATCH(F$1,products!$B$2:$B$5,0))=1))),1,0)</f>
        <v>0</v>
      </c>
      <c r="G27" s="0" t="n">
        <f aca="false">IF(AND($D27&lt;=90,$C27&gt;=INDEX(products!$D$2:$D$5,MATCH(G$1,products!$B$2:$B$5,0)),OR($B27&gt;=INDEX(products!$C$2:$C$5,MATCH(G$1,products!$B$2:$B$5,0)),AND($B27="",INDEX(products!$I$2:$I$5,MATCH(G$1,products!$B$2:$B$5,0))=1))),1,0)</f>
        <v>0</v>
      </c>
      <c r="H27" s="0" t="n">
        <f aca="false">IF(AND($D27&lt;=90,$C27&gt;=INDEX(products!$D$2:$D$5,MATCH(H$1,products!$B$2:$B$5,0)),OR($B27&gt;=INDEX(products!$C$2:$C$5,MATCH(H$1,products!$B$2:$B$5,0)),AND($B27="",INDEX(products!$I$2:$I$5,MATCH(H$1,products!$B$2:$B$5,0))=1))),1,0)</f>
        <v>0</v>
      </c>
      <c r="I27" s="0" t="str">
        <f aca="false">IFERROR(INDEX($E$1:$H$1,MATCH(1,E27:H27,0)),"No offer")</f>
        <v>No offer</v>
      </c>
    </row>
    <row r="28" customFormat="false" ht="15" hidden="false" customHeight="false" outlineLevel="0" collapsed="false">
      <c r="A28" s="0" t="n">
        <v>5027</v>
      </c>
      <c r="C28" s="0" t="n">
        <v>10000000</v>
      </c>
      <c r="D28" s="0" t="n">
        <v>0</v>
      </c>
      <c r="E28" s="0" t="n">
        <f aca="false">IF(AND($D28&lt;=90,$C28&gt;=INDEX(products!$D$2:$D$5,MATCH(E$1,products!$B$2:$B$5,0)),OR($B28&gt;=INDEX(products!$C$2:$C$5,MATCH(E$1,products!$B$2:$B$5,0)),AND($B28="",INDEX(products!$I$2:$I$5,MATCH(E$1,products!$B$2:$B$5,0))=1))),1,0)</f>
        <v>0</v>
      </c>
      <c r="F28" s="0" t="n">
        <f aca="false">IF(AND($D28&lt;=90,$C28&gt;=INDEX(products!$D$2:$D$5,MATCH(F$1,products!$B$2:$B$5,0)),OR($B28&gt;=INDEX(products!$C$2:$C$5,MATCH(F$1,products!$B$2:$B$5,0)),AND($B28="",INDEX(products!$I$2:$I$5,MATCH(F$1,products!$B$2:$B$5,0))=1))),1,0)</f>
        <v>0</v>
      </c>
      <c r="G28" s="0" t="n">
        <f aca="false">IF(AND($D28&lt;=90,$C28&gt;=INDEX(products!$D$2:$D$5,MATCH(G$1,products!$B$2:$B$5,0)),OR($B28&gt;=INDEX(products!$C$2:$C$5,MATCH(G$1,products!$B$2:$B$5,0)),AND($B28="",INDEX(products!$I$2:$I$5,MATCH(G$1,products!$B$2:$B$5,0))=1))),1,0)</f>
        <v>0</v>
      </c>
      <c r="H28" s="0" t="n">
        <f aca="false">IF(AND($D28&lt;=90,$C28&gt;=INDEX(products!$D$2:$D$5,MATCH(H$1,products!$B$2:$B$5,0)),OR($B28&gt;=INDEX(products!$C$2:$C$5,MATCH(H$1,products!$B$2:$B$5,0)),AND($B28="",INDEX(products!$I$2:$I$5,MATCH(H$1,products!$B$2:$B$5,0))=1))),1,0)</f>
        <v>1</v>
      </c>
      <c r="I28" s="0" t="str">
        <f aca="false">IFERROR(INDEX($E$1:$H$1,MATCH(1,E28:H28,0)),"No offer")</f>
        <v>Micro</v>
      </c>
    </row>
    <row r="29" customFormat="false" ht="15" hidden="false" customHeight="false" outlineLevel="0" collapsed="false">
      <c r="A29" s="0" t="n">
        <v>5028</v>
      </c>
      <c r="B29" s="0" t="n">
        <v>687</v>
      </c>
      <c r="C29" s="0" t="n">
        <v>23000000</v>
      </c>
      <c r="D29" s="0" t="n">
        <v>4</v>
      </c>
      <c r="E29" s="0" t="n">
        <f aca="false">IF(AND($D29&lt;=90,$C29&gt;=INDEX(products!$D$2:$D$5,MATCH(E$1,products!$B$2:$B$5,0)),OR($B29&gt;=INDEX(products!$C$2:$C$5,MATCH(E$1,products!$B$2:$B$5,0)),AND($B29="",INDEX(products!$I$2:$I$5,MATCH(E$1,products!$B$2:$B$5,0))=1))),1,0)</f>
        <v>0</v>
      </c>
      <c r="F29" s="0" t="n">
        <f aca="false">IF(AND($D29&lt;=90,$C29&gt;=INDEX(products!$D$2:$D$5,MATCH(F$1,products!$B$2:$B$5,0)),OR($B29&gt;=INDEX(products!$C$2:$C$5,MATCH(F$1,products!$B$2:$B$5,0)),AND($B29="",INDEX(products!$I$2:$I$5,MATCH(F$1,products!$B$2:$B$5,0))=1))),1,0)</f>
        <v>1</v>
      </c>
      <c r="G29" s="0" t="n">
        <f aca="false">IF(AND($D29&lt;=90,$C29&gt;=INDEX(products!$D$2:$D$5,MATCH(G$1,products!$B$2:$B$5,0)),OR($B29&gt;=INDEX(products!$C$2:$C$5,MATCH(G$1,products!$B$2:$B$5,0)),AND($B29="",INDEX(products!$I$2:$I$5,MATCH(G$1,products!$B$2:$B$5,0))=1))),1,0)</f>
        <v>1</v>
      </c>
      <c r="H29" s="0" t="n">
        <f aca="false">IF(AND($D29&lt;=90,$C29&gt;=INDEX(products!$D$2:$D$5,MATCH(H$1,products!$B$2:$B$5,0)),OR($B29&gt;=INDEX(products!$C$2:$C$5,MATCH(H$1,products!$B$2:$B$5,0)),AND($B29="",INDEX(products!$I$2:$I$5,MATCH(H$1,products!$B$2:$B$5,0))=1))),1,0)</f>
        <v>1</v>
      </c>
      <c r="I29" s="0" t="str">
        <f aca="false">IFERROR(INDEX($E$1:$H$1,MATCH(1,E29:H29,0)),"No offer")</f>
        <v>Standard</v>
      </c>
    </row>
    <row r="30" customFormat="false" ht="15" hidden="false" customHeight="false" outlineLevel="0" collapsed="false">
      <c r="A30" s="0" t="n">
        <v>5029</v>
      </c>
      <c r="C30" s="0" t="n">
        <v>7500000</v>
      </c>
      <c r="D30" s="0" t="n">
        <v>0</v>
      </c>
      <c r="E30" s="0" t="n">
        <f aca="false">IF(AND($D30&lt;=90,$C30&gt;=INDEX(products!$D$2:$D$5,MATCH(E$1,products!$B$2:$B$5,0)),OR($B30&gt;=INDEX(products!$C$2:$C$5,MATCH(E$1,products!$B$2:$B$5,0)),AND($B30="",INDEX(products!$I$2:$I$5,MATCH(E$1,products!$B$2:$B$5,0))=1))),1,0)</f>
        <v>0</v>
      </c>
      <c r="F30" s="0" t="n">
        <f aca="false">IF(AND($D30&lt;=90,$C30&gt;=INDEX(products!$D$2:$D$5,MATCH(F$1,products!$B$2:$B$5,0)),OR($B30&gt;=INDEX(products!$C$2:$C$5,MATCH(F$1,products!$B$2:$B$5,0)),AND($B30="",INDEX(products!$I$2:$I$5,MATCH(F$1,products!$B$2:$B$5,0))=1))),1,0)</f>
        <v>0</v>
      </c>
      <c r="G30" s="0" t="n">
        <f aca="false">IF(AND($D30&lt;=90,$C30&gt;=INDEX(products!$D$2:$D$5,MATCH(G$1,products!$B$2:$B$5,0)),OR($B30&gt;=INDEX(products!$C$2:$C$5,MATCH(G$1,products!$B$2:$B$5,0)),AND($B30="",INDEX(products!$I$2:$I$5,MATCH(G$1,products!$B$2:$B$5,0))=1))),1,0)</f>
        <v>0</v>
      </c>
      <c r="H30" s="0" t="n">
        <f aca="false">IF(AND($D30&lt;=90,$C30&gt;=INDEX(products!$D$2:$D$5,MATCH(H$1,products!$B$2:$B$5,0)),OR($B30&gt;=INDEX(products!$C$2:$C$5,MATCH(H$1,products!$B$2:$B$5,0)),AND($B30="",INDEX(products!$I$2:$I$5,MATCH(H$1,products!$B$2:$B$5,0))=1))),1,0)</f>
        <v>1</v>
      </c>
      <c r="I30" s="0" t="str">
        <f aca="false">IFERROR(INDEX($E$1:$H$1,MATCH(1,E30:H30,0)),"No offer")</f>
        <v>Micro</v>
      </c>
    </row>
    <row r="31" customFormat="false" ht="15" hidden="false" customHeight="false" outlineLevel="0" collapsed="false">
      <c r="A31" s="0" t="n">
        <v>5030</v>
      </c>
      <c r="B31" s="0" t="n">
        <v>628</v>
      </c>
      <c r="C31" s="0" t="n">
        <v>15500000</v>
      </c>
      <c r="D31" s="0" t="n">
        <v>72</v>
      </c>
      <c r="E31" s="0" t="n">
        <f aca="false">IF(AND($D31&lt;=90,$C31&gt;=INDEX(products!$D$2:$D$5,MATCH(E$1,products!$B$2:$B$5,0)),OR($B31&gt;=INDEX(products!$C$2:$C$5,MATCH(E$1,products!$B$2:$B$5,0)),AND($B31="",INDEX(products!$I$2:$I$5,MATCH(E$1,products!$B$2:$B$5,0))=1))),1,0)</f>
        <v>0</v>
      </c>
      <c r="F31" s="0" t="n">
        <f aca="false">IF(AND($D31&lt;=90,$C31&gt;=INDEX(products!$D$2:$D$5,MATCH(F$1,products!$B$2:$B$5,0)),OR($B31&gt;=INDEX(products!$C$2:$C$5,MATCH(F$1,products!$B$2:$B$5,0)),AND($B31="",INDEX(products!$I$2:$I$5,MATCH(F$1,products!$B$2:$B$5,0))=1))),1,0)</f>
        <v>1</v>
      </c>
      <c r="G31" s="0" t="n">
        <f aca="false">IF(AND($D31&lt;=90,$C31&gt;=INDEX(products!$D$2:$D$5,MATCH(G$1,products!$B$2:$B$5,0)),OR($B31&gt;=INDEX(products!$C$2:$C$5,MATCH(G$1,products!$B$2:$B$5,0)),AND($B31="",INDEX(products!$I$2:$I$5,MATCH(G$1,products!$B$2:$B$5,0))=1))),1,0)</f>
        <v>1</v>
      </c>
      <c r="H31" s="0" t="n">
        <f aca="false">IF(AND($D31&lt;=90,$C31&gt;=INDEX(products!$D$2:$D$5,MATCH(H$1,products!$B$2:$B$5,0)),OR($B31&gt;=INDEX(products!$C$2:$C$5,MATCH(H$1,products!$B$2:$B$5,0)),AND($B31="",INDEX(products!$I$2:$I$5,MATCH(H$1,products!$B$2:$B$5,0))=1))),1,0)</f>
        <v>1</v>
      </c>
      <c r="I31" s="0" t="str">
        <f aca="false">IFERROR(INDEX($E$1:$H$1,MATCH(1,E31:H31,0)),"No offer")</f>
        <v>Standard</v>
      </c>
    </row>
    <row r="32" customFormat="false" ht="15" hidden="false" customHeight="false" outlineLevel="0" collapsed="false">
      <c r="A32" s="0" t="n">
        <v>5031</v>
      </c>
      <c r="B32" s="0" t="n">
        <v>723</v>
      </c>
      <c r="C32" s="0" t="n">
        <v>8500000</v>
      </c>
      <c r="D32" s="0" t="n">
        <v>8</v>
      </c>
      <c r="E32" s="0" t="n">
        <f aca="false">IF(AND($D32&lt;=90,$C32&gt;=INDEX(products!$D$2:$D$5,MATCH(E$1,products!$B$2:$B$5,0)),OR($B32&gt;=INDEX(products!$C$2:$C$5,MATCH(E$1,products!$B$2:$B$5,0)),AND($B32="",INDEX(products!$I$2:$I$5,MATCH(E$1,products!$B$2:$B$5,0))=1))),1,0)</f>
        <v>0</v>
      </c>
      <c r="F32" s="0" t="n">
        <f aca="false">IF(AND($D32&lt;=90,$C32&gt;=INDEX(products!$D$2:$D$5,MATCH(F$1,products!$B$2:$B$5,0)),OR($B32&gt;=INDEX(products!$C$2:$C$5,MATCH(F$1,products!$B$2:$B$5,0)),AND($B32="",INDEX(products!$I$2:$I$5,MATCH(F$1,products!$B$2:$B$5,0))=1))),1,0)</f>
        <v>0</v>
      </c>
      <c r="G32" s="0" t="n">
        <f aca="false">IF(AND($D32&lt;=90,$C32&gt;=INDEX(products!$D$2:$D$5,MATCH(G$1,products!$B$2:$B$5,0)),OR($B32&gt;=INDEX(products!$C$2:$C$5,MATCH(G$1,products!$B$2:$B$5,0)),AND($B32="",INDEX(products!$I$2:$I$5,MATCH(G$1,products!$B$2:$B$5,0))=1))),1,0)</f>
        <v>1</v>
      </c>
      <c r="H32" s="0" t="n">
        <f aca="false">IF(AND($D32&lt;=90,$C32&gt;=INDEX(products!$D$2:$D$5,MATCH(H$1,products!$B$2:$B$5,0)),OR($B32&gt;=INDEX(products!$C$2:$C$5,MATCH(H$1,products!$B$2:$B$5,0)),AND($B32="",INDEX(products!$I$2:$I$5,MATCH(H$1,products!$B$2:$B$5,0))=1))),1,0)</f>
        <v>1</v>
      </c>
      <c r="I32" s="0" t="str">
        <f aca="false">IFERROR(INDEX($E$1:$H$1,MATCH(1,E32:H32,0)),"No offer")</f>
        <v>Starter</v>
      </c>
    </row>
    <row r="33" customFormat="false" ht="15" hidden="false" customHeight="false" outlineLevel="0" collapsed="false">
      <c r="A33" s="0" t="n">
        <v>5032</v>
      </c>
      <c r="B33" s="0" t="n">
        <v>842</v>
      </c>
      <c r="C33" s="0" t="n">
        <v>4500000</v>
      </c>
      <c r="D33" s="0" t="n">
        <v>8</v>
      </c>
      <c r="E33" s="0" t="n">
        <f aca="false">IF(AND($D33&lt;=90,$C33&gt;=INDEX(products!$D$2:$D$5,MATCH(E$1,products!$B$2:$B$5,0)),OR($B33&gt;=INDEX(products!$C$2:$C$5,MATCH(E$1,products!$B$2:$B$5,0)),AND($B33="",INDEX(products!$I$2:$I$5,MATCH(E$1,products!$B$2:$B$5,0))=1))),1,0)</f>
        <v>0</v>
      </c>
      <c r="F33" s="0" t="n">
        <f aca="false">IF(AND($D33&lt;=90,$C33&gt;=INDEX(products!$D$2:$D$5,MATCH(F$1,products!$B$2:$B$5,0)),OR($B33&gt;=INDEX(products!$C$2:$C$5,MATCH(F$1,products!$B$2:$B$5,0)),AND($B33="",INDEX(products!$I$2:$I$5,MATCH(F$1,products!$B$2:$B$5,0))=1))),1,0)</f>
        <v>0</v>
      </c>
      <c r="G33" s="0" t="n">
        <f aca="false">IF(AND($D33&lt;=90,$C33&gt;=INDEX(products!$D$2:$D$5,MATCH(G$1,products!$B$2:$B$5,0)),OR($B33&gt;=INDEX(products!$C$2:$C$5,MATCH(G$1,products!$B$2:$B$5,0)),AND($B33="",INDEX(products!$I$2:$I$5,MATCH(G$1,products!$B$2:$B$5,0))=1))),1,0)</f>
        <v>0</v>
      </c>
      <c r="H33" s="0" t="n">
        <f aca="false">IF(AND($D33&lt;=90,$C33&gt;=INDEX(products!$D$2:$D$5,MATCH(H$1,products!$B$2:$B$5,0)),OR($B33&gt;=INDEX(products!$C$2:$C$5,MATCH(H$1,products!$B$2:$B$5,0)),AND($B33="",INDEX(products!$I$2:$I$5,MATCH(H$1,products!$B$2:$B$5,0))=1))),1,0)</f>
        <v>0</v>
      </c>
      <c r="I33" s="0" t="str">
        <f aca="false">IFERROR(INDEX($E$1:$H$1,MATCH(1,E33:H33,0)),"No offer")</f>
        <v>No offer</v>
      </c>
    </row>
    <row r="34" customFormat="false" ht="15" hidden="false" customHeight="false" outlineLevel="0" collapsed="false">
      <c r="A34" s="0" t="n">
        <v>5033</v>
      </c>
      <c r="B34" s="0" t="n">
        <v>413</v>
      </c>
      <c r="C34" s="0" t="n">
        <v>18500000</v>
      </c>
      <c r="D34" s="0" t="n">
        <v>339</v>
      </c>
      <c r="E34" s="0" t="n">
        <f aca="false">IF(AND($D34&lt;=90,$C34&gt;=INDEX(products!$D$2:$D$5,MATCH(E$1,products!$B$2:$B$5,0)),OR($B34&gt;=INDEX(products!$C$2:$C$5,MATCH(E$1,products!$B$2:$B$5,0)),AND($B34="",INDEX(products!$I$2:$I$5,MATCH(E$1,products!$B$2:$B$5,0))=1))),1,0)</f>
        <v>0</v>
      </c>
      <c r="F34" s="0" t="n">
        <f aca="false">IF(AND($D34&lt;=90,$C34&gt;=INDEX(products!$D$2:$D$5,MATCH(F$1,products!$B$2:$B$5,0)),OR($B34&gt;=INDEX(products!$C$2:$C$5,MATCH(F$1,products!$B$2:$B$5,0)),AND($B34="",INDEX(products!$I$2:$I$5,MATCH(F$1,products!$B$2:$B$5,0))=1))),1,0)</f>
        <v>0</v>
      </c>
      <c r="G34" s="0" t="n">
        <f aca="false">IF(AND($D34&lt;=90,$C34&gt;=INDEX(products!$D$2:$D$5,MATCH(G$1,products!$B$2:$B$5,0)),OR($B34&gt;=INDEX(products!$C$2:$C$5,MATCH(G$1,products!$B$2:$B$5,0)),AND($B34="",INDEX(products!$I$2:$I$5,MATCH(G$1,products!$B$2:$B$5,0))=1))),1,0)</f>
        <v>0</v>
      </c>
      <c r="H34" s="0" t="n">
        <f aca="false">IF(AND($D34&lt;=90,$C34&gt;=INDEX(products!$D$2:$D$5,MATCH(H$1,products!$B$2:$B$5,0)),OR($B34&gt;=INDEX(products!$C$2:$C$5,MATCH(H$1,products!$B$2:$B$5,0)),AND($B34="",INDEX(products!$I$2:$I$5,MATCH(H$1,products!$B$2:$B$5,0))=1))),1,0)</f>
        <v>0</v>
      </c>
      <c r="I34" s="0" t="str">
        <f aca="false">IFERROR(INDEX($E$1:$H$1,MATCH(1,E34:H34,0)),"No offer")</f>
        <v>No offer</v>
      </c>
    </row>
    <row r="35" customFormat="false" ht="15" hidden="false" customHeight="false" outlineLevel="0" collapsed="false">
      <c r="A35" s="0" t="n">
        <v>5034</v>
      </c>
      <c r="B35" s="0" t="n">
        <v>840</v>
      </c>
      <c r="C35" s="0" t="n">
        <v>14500000</v>
      </c>
      <c r="D35" s="0" t="n">
        <v>7</v>
      </c>
      <c r="E35" s="0" t="n">
        <f aca="false">IF(AND($D35&lt;=90,$C35&gt;=INDEX(products!$D$2:$D$5,MATCH(E$1,products!$B$2:$B$5,0)),OR($B35&gt;=INDEX(products!$C$2:$C$5,MATCH(E$1,products!$B$2:$B$5,0)),AND($B35="",INDEX(products!$I$2:$I$5,MATCH(E$1,products!$B$2:$B$5,0))=1))),1,0)</f>
        <v>0</v>
      </c>
      <c r="F35" s="0" t="n">
        <f aca="false">IF(AND($D35&lt;=90,$C35&gt;=INDEX(products!$D$2:$D$5,MATCH(F$1,products!$B$2:$B$5,0)),OR($B35&gt;=INDEX(products!$C$2:$C$5,MATCH(F$1,products!$B$2:$B$5,0)),AND($B35="",INDEX(products!$I$2:$I$5,MATCH(F$1,products!$B$2:$B$5,0))=1))),1,0)</f>
        <v>1</v>
      </c>
      <c r="G35" s="0" t="n">
        <f aca="false">IF(AND($D35&lt;=90,$C35&gt;=INDEX(products!$D$2:$D$5,MATCH(G$1,products!$B$2:$B$5,0)),OR($B35&gt;=INDEX(products!$C$2:$C$5,MATCH(G$1,products!$B$2:$B$5,0)),AND($B35="",INDEX(products!$I$2:$I$5,MATCH(G$1,products!$B$2:$B$5,0))=1))),1,0)</f>
        <v>1</v>
      </c>
      <c r="H35" s="0" t="n">
        <f aca="false">IF(AND($D35&lt;=90,$C35&gt;=INDEX(products!$D$2:$D$5,MATCH(H$1,products!$B$2:$B$5,0)),OR($B35&gt;=INDEX(products!$C$2:$C$5,MATCH(H$1,products!$B$2:$B$5,0)),AND($B35="",INDEX(products!$I$2:$I$5,MATCH(H$1,products!$B$2:$B$5,0))=1))),1,0)</f>
        <v>1</v>
      </c>
      <c r="I35" s="0" t="str">
        <f aca="false">IFERROR(INDEX($E$1:$H$1,MATCH(1,E35:H35,0)),"No offer")</f>
        <v>Standard</v>
      </c>
    </row>
    <row r="36" customFormat="false" ht="15" hidden="false" customHeight="false" outlineLevel="0" collapsed="false">
      <c r="A36" s="0" t="n">
        <v>5035</v>
      </c>
      <c r="C36" s="0" t="n">
        <v>9000000</v>
      </c>
      <c r="D36" s="0" t="n">
        <v>0</v>
      </c>
      <c r="E36" s="0" t="n">
        <f aca="false">IF(AND($D36&lt;=90,$C36&gt;=INDEX(products!$D$2:$D$5,MATCH(E$1,products!$B$2:$B$5,0)),OR($B36&gt;=INDEX(products!$C$2:$C$5,MATCH(E$1,products!$B$2:$B$5,0)),AND($B36="",INDEX(products!$I$2:$I$5,MATCH(E$1,products!$B$2:$B$5,0))=1))),1,0)</f>
        <v>0</v>
      </c>
      <c r="F36" s="0" t="n">
        <f aca="false">IF(AND($D36&lt;=90,$C36&gt;=INDEX(products!$D$2:$D$5,MATCH(F$1,products!$B$2:$B$5,0)),OR($B36&gt;=INDEX(products!$C$2:$C$5,MATCH(F$1,products!$B$2:$B$5,0)),AND($B36="",INDEX(products!$I$2:$I$5,MATCH(F$1,products!$B$2:$B$5,0))=1))),1,0)</f>
        <v>0</v>
      </c>
      <c r="G36" s="0" t="n">
        <f aca="false">IF(AND($D36&lt;=90,$C36&gt;=INDEX(products!$D$2:$D$5,MATCH(G$1,products!$B$2:$B$5,0)),OR($B36&gt;=INDEX(products!$C$2:$C$5,MATCH(G$1,products!$B$2:$B$5,0)),AND($B36="",INDEX(products!$I$2:$I$5,MATCH(G$1,products!$B$2:$B$5,0))=1))),1,0)</f>
        <v>0</v>
      </c>
      <c r="H36" s="0" t="n">
        <f aca="false">IF(AND($D36&lt;=90,$C36&gt;=INDEX(products!$D$2:$D$5,MATCH(H$1,products!$B$2:$B$5,0)),OR($B36&gt;=INDEX(products!$C$2:$C$5,MATCH(H$1,products!$B$2:$B$5,0)),AND($B36="",INDEX(products!$I$2:$I$5,MATCH(H$1,products!$B$2:$B$5,0))=1))),1,0)</f>
        <v>1</v>
      </c>
      <c r="I36" s="0" t="str">
        <f aca="false">IFERROR(INDEX($E$1:$H$1,MATCH(1,E36:H36,0)),"No offer")</f>
        <v>Micro</v>
      </c>
    </row>
    <row r="37" customFormat="false" ht="15" hidden="false" customHeight="false" outlineLevel="0" collapsed="false">
      <c r="A37" s="0" t="n">
        <v>5036</v>
      </c>
      <c r="B37" s="0" t="n">
        <v>562</v>
      </c>
      <c r="C37" s="0" t="n">
        <v>11000000</v>
      </c>
      <c r="D37" s="0" t="n">
        <v>37</v>
      </c>
      <c r="E37" s="0" t="n">
        <f aca="false">IF(AND($D37&lt;=90,$C37&gt;=INDEX(products!$D$2:$D$5,MATCH(E$1,products!$B$2:$B$5,0)),OR($B37&gt;=INDEX(products!$C$2:$C$5,MATCH(E$1,products!$B$2:$B$5,0)),AND($B37="",INDEX(products!$I$2:$I$5,MATCH(E$1,products!$B$2:$B$5,0))=1))),1,0)</f>
        <v>0</v>
      </c>
      <c r="F37" s="0" t="n">
        <f aca="false">IF(AND($D37&lt;=90,$C37&gt;=INDEX(products!$D$2:$D$5,MATCH(F$1,products!$B$2:$B$5,0)),OR($B37&gt;=INDEX(products!$C$2:$C$5,MATCH(F$1,products!$B$2:$B$5,0)),AND($B37="",INDEX(products!$I$2:$I$5,MATCH(F$1,products!$B$2:$B$5,0))=1))),1,0)</f>
        <v>0</v>
      </c>
      <c r="G37" s="0" t="n">
        <f aca="false">IF(AND($D37&lt;=90,$C37&gt;=INDEX(products!$D$2:$D$5,MATCH(G$1,products!$B$2:$B$5,0)),OR($B37&gt;=INDEX(products!$C$2:$C$5,MATCH(G$1,products!$B$2:$B$5,0)),AND($B37="",INDEX(products!$I$2:$I$5,MATCH(G$1,products!$B$2:$B$5,0))=1))),1,0)</f>
        <v>1</v>
      </c>
      <c r="H37" s="0" t="n">
        <f aca="false">IF(AND($D37&lt;=90,$C37&gt;=INDEX(products!$D$2:$D$5,MATCH(H$1,products!$B$2:$B$5,0)),OR($B37&gt;=INDEX(products!$C$2:$C$5,MATCH(H$1,products!$B$2:$B$5,0)),AND($B37="",INDEX(products!$I$2:$I$5,MATCH(H$1,products!$B$2:$B$5,0))=1))),1,0)</f>
        <v>1</v>
      </c>
      <c r="I37" s="0" t="str">
        <f aca="false">IFERROR(INDEX($E$1:$H$1,MATCH(1,E37:H37,0)),"No offer")</f>
        <v>Starter</v>
      </c>
    </row>
    <row r="38" customFormat="false" ht="15" hidden="false" customHeight="false" outlineLevel="0" collapsed="false">
      <c r="A38" s="0" t="n">
        <v>5037</v>
      </c>
      <c r="B38" s="0" t="n">
        <v>600</v>
      </c>
      <c r="C38" s="0" t="n">
        <v>10000000</v>
      </c>
      <c r="D38" s="0" t="n">
        <v>7</v>
      </c>
      <c r="E38" s="0" t="n">
        <f aca="false">IF(AND($D38&lt;=90,$C38&gt;=INDEX(products!$D$2:$D$5,MATCH(E$1,products!$B$2:$B$5,0)),OR($B38&gt;=INDEX(products!$C$2:$C$5,MATCH(E$1,products!$B$2:$B$5,0)),AND($B38="",INDEX(products!$I$2:$I$5,MATCH(E$1,products!$B$2:$B$5,0))=1))),1,0)</f>
        <v>0</v>
      </c>
      <c r="F38" s="0" t="n">
        <f aca="false">IF(AND($D38&lt;=90,$C38&gt;=INDEX(products!$D$2:$D$5,MATCH(F$1,products!$B$2:$B$5,0)),OR($B38&gt;=INDEX(products!$C$2:$C$5,MATCH(F$1,products!$B$2:$B$5,0)),AND($B38="",INDEX(products!$I$2:$I$5,MATCH(F$1,products!$B$2:$B$5,0))=1))),1,0)</f>
        <v>1</v>
      </c>
      <c r="G38" s="0" t="n">
        <f aca="false">IF(AND($D38&lt;=90,$C38&gt;=INDEX(products!$D$2:$D$5,MATCH(G$1,products!$B$2:$B$5,0)),OR($B38&gt;=INDEX(products!$C$2:$C$5,MATCH(G$1,products!$B$2:$B$5,0)),AND($B38="",INDEX(products!$I$2:$I$5,MATCH(G$1,products!$B$2:$B$5,0))=1))),1,0)</f>
        <v>1</v>
      </c>
      <c r="H38" s="0" t="n">
        <f aca="false">IF(AND($D38&lt;=90,$C38&gt;=INDEX(products!$D$2:$D$5,MATCH(H$1,products!$B$2:$B$5,0)),OR($B38&gt;=INDEX(products!$C$2:$C$5,MATCH(H$1,products!$B$2:$B$5,0)),AND($B38="",INDEX(products!$I$2:$I$5,MATCH(H$1,products!$B$2:$B$5,0))=1))),1,0)</f>
        <v>1</v>
      </c>
      <c r="I38" s="0" t="str">
        <f aca="false">IFERROR(INDEX($E$1:$H$1,MATCH(1,E38:H38,0)),"No offer")</f>
        <v>Standard</v>
      </c>
    </row>
    <row r="39" customFormat="false" ht="15" hidden="false" customHeight="false" outlineLevel="0" collapsed="false">
      <c r="A39" s="0" t="n">
        <v>5038</v>
      </c>
      <c r="B39" s="0" t="n">
        <v>818</v>
      </c>
      <c r="C39" s="0" t="n">
        <v>6500000</v>
      </c>
      <c r="D39" s="0" t="n">
        <v>2</v>
      </c>
      <c r="E39" s="0" t="n">
        <f aca="false">IF(AND($D39&lt;=90,$C39&gt;=INDEX(products!$D$2:$D$5,MATCH(E$1,products!$B$2:$B$5,0)),OR($B39&gt;=INDEX(products!$C$2:$C$5,MATCH(E$1,products!$B$2:$B$5,0)),AND($B39="",INDEX(products!$I$2:$I$5,MATCH(E$1,products!$B$2:$B$5,0))=1))),1,0)</f>
        <v>0</v>
      </c>
      <c r="F39" s="0" t="n">
        <f aca="false">IF(AND($D39&lt;=90,$C39&gt;=INDEX(products!$D$2:$D$5,MATCH(F$1,products!$B$2:$B$5,0)),OR($B39&gt;=INDEX(products!$C$2:$C$5,MATCH(F$1,products!$B$2:$B$5,0)),AND($B39="",INDEX(products!$I$2:$I$5,MATCH(F$1,products!$B$2:$B$5,0))=1))),1,0)</f>
        <v>0</v>
      </c>
      <c r="G39" s="0" t="n">
        <f aca="false">IF(AND($D39&lt;=90,$C39&gt;=INDEX(products!$D$2:$D$5,MATCH(G$1,products!$B$2:$B$5,0)),OR($B39&gt;=INDEX(products!$C$2:$C$5,MATCH(G$1,products!$B$2:$B$5,0)),AND($B39="",INDEX(products!$I$2:$I$5,MATCH(G$1,products!$B$2:$B$5,0))=1))),1,0)</f>
        <v>0</v>
      </c>
      <c r="H39" s="0" t="n">
        <f aca="false">IF(AND($D39&lt;=90,$C39&gt;=INDEX(products!$D$2:$D$5,MATCH(H$1,products!$B$2:$B$5,0)),OR($B39&gt;=INDEX(products!$C$2:$C$5,MATCH(H$1,products!$B$2:$B$5,0)),AND($B39="",INDEX(products!$I$2:$I$5,MATCH(H$1,products!$B$2:$B$5,0))=1))),1,0)</f>
        <v>1</v>
      </c>
      <c r="I39" s="0" t="str">
        <f aca="false">IFERROR(INDEX($E$1:$H$1,MATCH(1,E39:H39,0)),"No offer")</f>
        <v>Micro</v>
      </c>
    </row>
    <row r="40" customFormat="false" ht="15" hidden="false" customHeight="false" outlineLevel="0" collapsed="false">
      <c r="A40" s="0" t="n">
        <v>5039</v>
      </c>
      <c r="B40" s="0" t="n">
        <v>612</v>
      </c>
      <c r="C40" s="0" t="n">
        <v>9500000</v>
      </c>
      <c r="D40" s="0" t="n">
        <v>17</v>
      </c>
      <c r="E40" s="0" t="n">
        <f aca="false">IF(AND($D40&lt;=90,$C40&gt;=INDEX(products!$D$2:$D$5,MATCH(E$1,products!$B$2:$B$5,0)),OR($B40&gt;=INDEX(products!$C$2:$C$5,MATCH(E$1,products!$B$2:$B$5,0)),AND($B40="",INDEX(products!$I$2:$I$5,MATCH(E$1,products!$B$2:$B$5,0))=1))),1,0)</f>
        <v>0</v>
      </c>
      <c r="F40" s="0" t="n">
        <f aca="false">IF(AND($D40&lt;=90,$C40&gt;=INDEX(products!$D$2:$D$5,MATCH(F$1,products!$B$2:$B$5,0)),OR($B40&gt;=INDEX(products!$C$2:$C$5,MATCH(F$1,products!$B$2:$B$5,0)),AND($B40="",INDEX(products!$I$2:$I$5,MATCH(F$1,products!$B$2:$B$5,0))=1))),1,0)</f>
        <v>0</v>
      </c>
      <c r="G40" s="0" t="n">
        <f aca="false">IF(AND($D40&lt;=90,$C40&gt;=INDEX(products!$D$2:$D$5,MATCH(G$1,products!$B$2:$B$5,0)),OR($B40&gt;=INDEX(products!$C$2:$C$5,MATCH(G$1,products!$B$2:$B$5,0)),AND($B40="",INDEX(products!$I$2:$I$5,MATCH(G$1,products!$B$2:$B$5,0))=1))),1,0)</f>
        <v>1</v>
      </c>
      <c r="H40" s="0" t="n">
        <f aca="false">IF(AND($D40&lt;=90,$C40&gt;=INDEX(products!$D$2:$D$5,MATCH(H$1,products!$B$2:$B$5,0)),OR($B40&gt;=INDEX(products!$C$2:$C$5,MATCH(H$1,products!$B$2:$B$5,0)),AND($B40="",INDEX(products!$I$2:$I$5,MATCH(H$1,products!$B$2:$B$5,0))=1))),1,0)</f>
        <v>1</v>
      </c>
      <c r="I40" s="0" t="str">
        <f aca="false">IFERROR(INDEX($E$1:$H$1,MATCH(1,E40:H40,0)),"No offer")</f>
        <v>Starter</v>
      </c>
    </row>
    <row r="41" customFormat="false" ht="15" hidden="false" customHeight="false" outlineLevel="0" collapsed="false">
      <c r="A41" s="0" t="n">
        <v>5040</v>
      </c>
      <c r="C41" s="0" t="n">
        <v>7000000</v>
      </c>
      <c r="D41" s="0" t="n">
        <v>0</v>
      </c>
      <c r="E41" s="0" t="n">
        <f aca="false">IF(AND($D41&lt;=90,$C41&gt;=INDEX(products!$D$2:$D$5,MATCH(E$1,products!$B$2:$B$5,0)),OR($B41&gt;=INDEX(products!$C$2:$C$5,MATCH(E$1,products!$B$2:$B$5,0)),AND($B41="",INDEX(products!$I$2:$I$5,MATCH(E$1,products!$B$2:$B$5,0))=1))),1,0)</f>
        <v>0</v>
      </c>
      <c r="F41" s="0" t="n">
        <f aca="false">IF(AND($D41&lt;=90,$C41&gt;=INDEX(products!$D$2:$D$5,MATCH(F$1,products!$B$2:$B$5,0)),OR($B41&gt;=INDEX(products!$C$2:$C$5,MATCH(F$1,products!$B$2:$B$5,0)),AND($B41="",INDEX(products!$I$2:$I$5,MATCH(F$1,products!$B$2:$B$5,0))=1))),1,0)</f>
        <v>0</v>
      </c>
      <c r="G41" s="0" t="n">
        <f aca="false">IF(AND($D41&lt;=90,$C41&gt;=INDEX(products!$D$2:$D$5,MATCH(G$1,products!$B$2:$B$5,0)),OR($B41&gt;=INDEX(products!$C$2:$C$5,MATCH(G$1,products!$B$2:$B$5,0)),AND($B41="",INDEX(products!$I$2:$I$5,MATCH(G$1,products!$B$2:$B$5,0))=1))),1,0)</f>
        <v>0</v>
      </c>
      <c r="H41" s="0" t="n">
        <f aca="false">IF(AND($D41&lt;=90,$C41&gt;=INDEX(products!$D$2:$D$5,MATCH(H$1,products!$B$2:$B$5,0)),OR($B41&gt;=INDEX(products!$C$2:$C$5,MATCH(H$1,products!$B$2:$B$5,0)),AND($B41="",INDEX(products!$I$2:$I$5,MATCH(H$1,products!$B$2:$B$5,0))=1))),1,0)</f>
        <v>1</v>
      </c>
      <c r="I41" s="0" t="str">
        <f aca="false">IFERROR(INDEX($E$1:$H$1,MATCH(1,E41:H41,0)),"No offer")</f>
        <v>Micro</v>
      </c>
    </row>
    <row r="42" customFormat="false" ht="15" hidden="false" customHeight="false" outlineLevel="0" collapsed="false">
      <c r="A42" s="0" t="n">
        <v>5041</v>
      </c>
      <c r="B42" s="0" t="n">
        <v>778</v>
      </c>
      <c r="C42" s="0" t="n">
        <v>12000000</v>
      </c>
      <c r="D42" s="0" t="n">
        <v>9</v>
      </c>
      <c r="E42" s="0" t="n">
        <f aca="false">IF(AND($D42&lt;=90,$C42&gt;=INDEX(products!$D$2:$D$5,MATCH(E$1,products!$B$2:$B$5,0)),OR($B42&gt;=INDEX(products!$C$2:$C$5,MATCH(E$1,products!$B$2:$B$5,0)),AND($B42="",INDEX(products!$I$2:$I$5,MATCH(E$1,products!$B$2:$B$5,0))=1))),1,0)</f>
        <v>0</v>
      </c>
      <c r="F42" s="0" t="n">
        <f aca="false">IF(AND($D42&lt;=90,$C42&gt;=INDEX(products!$D$2:$D$5,MATCH(F$1,products!$B$2:$B$5,0)),OR($B42&gt;=INDEX(products!$C$2:$C$5,MATCH(F$1,products!$B$2:$B$5,0)),AND($B42="",INDEX(products!$I$2:$I$5,MATCH(F$1,products!$B$2:$B$5,0))=1))),1,0)</f>
        <v>1</v>
      </c>
      <c r="G42" s="0" t="n">
        <f aca="false">IF(AND($D42&lt;=90,$C42&gt;=INDEX(products!$D$2:$D$5,MATCH(G$1,products!$B$2:$B$5,0)),OR($B42&gt;=INDEX(products!$C$2:$C$5,MATCH(G$1,products!$B$2:$B$5,0)),AND($B42="",INDEX(products!$I$2:$I$5,MATCH(G$1,products!$B$2:$B$5,0))=1))),1,0)</f>
        <v>1</v>
      </c>
      <c r="H42" s="0" t="n">
        <f aca="false">IF(AND($D42&lt;=90,$C42&gt;=INDEX(products!$D$2:$D$5,MATCH(H$1,products!$B$2:$B$5,0)),OR($B42&gt;=INDEX(products!$C$2:$C$5,MATCH(H$1,products!$B$2:$B$5,0)),AND($B42="",INDEX(products!$I$2:$I$5,MATCH(H$1,products!$B$2:$B$5,0))=1))),1,0)</f>
        <v>1</v>
      </c>
      <c r="I42" s="0" t="str">
        <f aca="false">IFERROR(INDEX($E$1:$H$1,MATCH(1,E42:H42,0)),"No offer")</f>
        <v>Standard</v>
      </c>
    </row>
    <row r="43" customFormat="false" ht="15" hidden="false" customHeight="false" outlineLevel="0" collapsed="false">
      <c r="A43" s="0" t="n">
        <v>5042</v>
      </c>
      <c r="B43" s="0" t="n">
        <v>552</v>
      </c>
      <c r="C43" s="0" t="n">
        <v>38000000</v>
      </c>
      <c r="D43" s="0" t="n">
        <v>45</v>
      </c>
      <c r="E43" s="0" t="n">
        <f aca="false">IF(AND($D43&lt;=90,$C43&gt;=INDEX(products!$D$2:$D$5,MATCH(E$1,products!$B$2:$B$5,0)),OR($B43&gt;=INDEX(products!$C$2:$C$5,MATCH(E$1,products!$B$2:$B$5,0)),AND($B43="",INDEX(products!$I$2:$I$5,MATCH(E$1,products!$B$2:$B$5,0))=1))),1,0)</f>
        <v>0</v>
      </c>
      <c r="F43" s="0" t="n">
        <f aca="false">IF(AND($D43&lt;=90,$C43&gt;=INDEX(products!$D$2:$D$5,MATCH(F$1,products!$B$2:$B$5,0)),OR($B43&gt;=INDEX(products!$C$2:$C$5,MATCH(F$1,products!$B$2:$B$5,0)),AND($B43="",INDEX(products!$I$2:$I$5,MATCH(F$1,products!$B$2:$B$5,0))=1))),1,0)</f>
        <v>0</v>
      </c>
      <c r="G43" s="0" t="n">
        <f aca="false">IF(AND($D43&lt;=90,$C43&gt;=INDEX(products!$D$2:$D$5,MATCH(G$1,products!$B$2:$B$5,0)),OR($B43&gt;=INDEX(products!$C$2:$C$5,MATCH(G$1,products!$B$2:$B$5,0)),AND($B43="",INDEX(products!$I$2:$I$5,MATCH(G$1,products!$B$2:$B$5,0))=1))),1,0)</f>
        <v>1</v>
      </c>
      <c r="H43" s="0" t="n">
        <f aca="false">IF(AND($D43&lt;=90,$C43&gt;=INDEX(products!$D$2:$D$5,MATCH(H$1,products!$B$2:$B$5,0)),OR($B43&gt;=INDEX(products!$C$2:$C$5,MATCH(H$1,products!$B$2:$B$5,0)),AND($B43="",INDEX(products!$I$2:$I$5,MATCH(H$1,products!$B$2:$B$5,0))=1))),1,0)</f>
        <v>1</v>
      </c>
      <c r="I43" s="0" t="str">
        <f aca="false">IFERROR(INDEX($E$1:$H$1,MATCH(1,E43:H43,0)),"No offer")</f>
        <v>Starter</v>
      </c>
    </row>
    <row r="44" customFormat="false" ht="15" hidden="false" customHeight="false" outlineLevel="0" collapsed="false">
      <c r="A44" s="0" t="n">
        <v>5043</v>
      </c>
      <c r="C44" s="0" t="n">
        <v>17000000</v>
      </c>
      <c r="D44" s="0" t="n">
        <v>0</v>
      </c>
      <c r="E44" s="0" t="n">
        <f aca="false">IF(AND($D44&lt;=90,$C44&gt;=INDEX(products!$D$2:$D$5,MATCH(E$1,products!$B$2:$B$5,0)),OR($B44&gt;=INDEX(products!$C$2:$C$5,MATCH(E$1,products!$B$2:$B$5,0)),AND($B44="",INDEX(products!$I$2:$I$5,MATCH(E$1,products!$B$2:$B$5,0))=1))),1,0)</f>
        <v>0</v>
      </c>
      <c r="F44" s="0" t="n">
        <f aca="false">IF(AND($D44&lt;=90,$C44&gt;=INDEX(products!$D$2:$D$5,MATCH(F$1,products!$B$2:$B$5,0)),OR($B44&gt;=INDEX(products!$C$2:$C$5,MATCH(F$1,products!$B$2:$B$5,0)),AND($B44="",INDEX(products!$I$2:$I$5,MATCH(F$1,products!$B$2:$B$5,0))=1))),1,0)</f>
        <v>0</v>
      </c>
      <c r="G44" s="0" t="n">
        <f aca="false">IF(AND($D44&lt;=90,$C44&gt;=INDEX(products!$D$2:$D$5,MATCH(G$1,products!$B$2:$B$5,0)),OR($B44&gt;=INDEX(products!$C$2:$C$5,MATCH(G$1,products!$B$2:$B$5,0)),AND($B44="",INDEX(products!$I$2:$I$5,MATCH(G$1,products!$B$2:$B$5,0))=1))),1,0)</f>
        <v>0</v>
      </c>
      <c r="H44" s="0" t="n">
        <f aca="false">IF(AND($D44&lt;=90,$C44&gt;=INDEX(products!$D$2:$D$5,MATCH(H$1,products!$B$2:$B$5,0)),OR($B44&gt;=INDEX(products!$C$2:$C$5,MATCH(H$1,products!$B$2:$B$5,0)),AND($B44="",INDEX(products!$I$2:$I$5,MATCH(H$1,products!$B$2:$B$5,0))=1))),1,0)</f>
        <v>1</v>
      </c>
      <c r="I44" s="0" t="str">
        <f aca="false">IFERROR(INDEX($E$1:$H$1,MATCH(1,E44:H44,0)),"No offer")</f>
        <v>Micro</v>
      </c>
    </row>
    <row r="45" customFormat="false" ht="15" hidden="false" customHeight="false" outlineLevel="0" collapsed="false">
      <c r="A45" s="0" t="n">
        <v>5044</v>
      </c>
      <c r="B45" s="0" t="n">
        <v>512</v>
      </c>
      <c r="C45" s="0" t="n">
        <v>23000000</v>
      </c>
      <c r="D45" s="0" t="n">
        <v>11</v>
      </c>
      <c r="E45" s="0" t="n">
        <f aca="false">IF(AND($D45&lt;=90,$C45&gt;=INDEX(products!$D$2:$D$5,MATCH(E$1,products!$B$2:$B$5,0)),OR($B45&gt;=INDEX(products!$C$2:$C$5,MATCH(E$1,products!$B$2:$B$5,0)),AND($B45="",INDEX(products!$I$2:$I$5,MATCH(E$1,products!$B$2:$B$5,0))=1))),1,0)</f>
        <v>0</v>
      </c>
      <c r="F45" s="0" t="n">
        <f aca="false">IF(AND($D45&lt;=90,$C45&gt;=INDEX(products!$D$2:$D$5,MATCH(F$1,products!$B$2:$B$5,0)),OR($B45&gt;=INDEX(products!$C$2:$C$5,MATCH(F$1,products!$B$2:$B$5,0)),AND($B45="",INDEX(products!$I$2:$I$5,MATCH(F$1,products!$B$2:$B$5,0))=1))),1,0)</f>
        <v>0</v>
      </c>
      <c r="G45" s="0" t="n">
        <f aca="false">IF(AND($D45&lt;=90,$C45&gt;=INDEX(products!$D$2:$D$5,MATCH(G$1,products!$B$2:$B$5,0)),OR($B45&gt;=INDEX(products!$C$2:$C$5,MATCH(G$1,products!$B$2:$B$5,0)),AND($B45="",INDEX(products!$I$2:$I$5,MATCH(G$1,products!$B$2:$B$5,0))=1))),1,0)</f>
        <v>1</v>
      </c>
      <c r="H45" s="0" t="n">
        <f aca="false">IF(AND($D45&lt;=90,$C45&gt;=INDEX(products!$D$2:$D$5,MATCH(H$1,products!$B$2:$B$5,0)),OR($B45&gt;=INDEX(products!$C$2:$C$5,MATCH(H$1,products!$B$2:$B$5,0)),AND($B45="",INDEX(products!$I$2:$I$5,MATCH(H$1,products!$B$2:$B$5,0))=1))),1,0)</f>
        <v>1</v>
      </c>
      <c r="I45" s="0" t="str">
        <f aca="false">IFERROR(INDEX($E$1:$H$1,MATCH(1,E45:H45,0)),"No offer")</f>
        <v>Starter</v>
      </c>
    </row>
    <row r="46" customFormat="false" ht="15" hidden="false" customHeight="false" outlineLevel="0" collapsed="false">
      <c r="A46" s="0" t="n">
        <v>5045</v>
      </c>
      <c r="B46" s="0" t="n">
        <v>671</v>
      </c>
      <c r="C46" s="0" t="n">
        <v>14000000</v>
      </c>
      <c r="D46" s="0" t="n">
        <v>40</v>
      </c>
      <c r="E46" s="0" t="n">
        <f aca="false">IF(AND($D46&lt;=90,$C46&gt;=INDEX(products!$D$2:$D$5,MATCH(E$1,products!$B$2:$B$5,0)),OR($B46&gt;=INDEX(products!$C$2:$C$5,MATCH(E$1,products!$B$2:$B$5,0)),AND($B46="",INDEX(products!$I$2:$I$5,MATCH(E$1,products!$B$2:$B$5,0))=1))),1,0)</f>
        <v>0</v>
      </c>
      <c r="F46" s="0" t="n">
        <f aca="false">IF(AND($D46&lt;=90,$C46&gt;=INDEX(products!$D$2:$D$5,MATCH(F$1,products!$B$2:$B$5,0)),OR($B46&gt;=INDEX(products!$C$2:$C$5,MATCH(F$1,products!$B$2:$B$5,0)),AND($B46="",INDEX(products!$I$2:$I$5,MATCH(F$1,products!$B$2:$B$5,0))=1))),1,0)</f>
        <v>1</v>
      </c>
      <c r="G46" s="0" t="n">
        <f aca="false">IF(AND($D46&lt;=90,$C46&gt;=INDEX(products!$D$2:$D$5,MATCH(G$1,products!$B$2:$B$5,0)),OR($B46&gt;=INDEX(products!$C$2:$C$5,MATCH(G$1,products!$B$2:$B$5,0)),AND($B46="",INDEX(products!$I$2:$I$5,MATCH(G$1,products!$B$2:$B$5,0))=1))),1,0)</f>
        <v>1</v>
      </c>
      <c r="H46" s="0" t="n">
        <f aca="false">IF(AND($D46&lt;=90,$C46&gt;=INDEX(products!$D$2:$D$5,MATCH(H$1,products!$B$2:$B$5,0)),OR($B46&gt;=INDEX(products!$C$2:$C$5,MATCH(H$1,products!$B$2:$B$5,0)),AND($B46="",INDEX(products!$I$2:$I$5,MATCH(H$1,products!$B$2:$B$5,0))=1))),1,0)</f>
        <v>1</v>
      </c>
      <c r="I46" s="0" t="str">
        <f aca="false">IFERROR(INDEX($E$1:$H$1,MATCH(1,E46:H46,0)),"No offer")</f>
        <v>Standard</v>
      </c>
    </row>
    <row r="47" customFormat="false" ht="15" hidden="false" customHeight="false" outlineLevel="0" collapsed="false">
      <c r="A47" s="0" t="n">
        <v>5046</v>
      </c>
      <c r="B47" s="0" t="n">
        <v>717</v>
      </c>
      <c r="C47" s="0" t="n">
        <v>7000000</v>
      </c>
      <c r="D47" s="0" t="n">
        <v>9</v>
      </c>
      <c r="E47" s="0" t="n">
        <f aca="false">IF(AND($D47&lt;=90,$C47&gt;=INDEX(products!$D$2:$D$5,MATCH(E$1,products!$B$2:$B$5,0)),OR($B47&gt;=INDEX(products!$C$2:$C$5,MATCH(E$1,products!$B$2:$B$5,0)),AND($B47="",INDEX(products!$I$2:$I$5,MATCH(E$1,products!$B$2:$B$5,0))=1))),1,0)</f>
        <v>0</v>
      </c>
      <c r="F47" s="0" t="n">
        <f aca="false">IF(AND($D47&lt;=90,$C47&gt;=INDEX(products!$D$2:$D$5,MATCH(F$1,products!$B$2:$B$5,0)),OR($B47&gt;=INDEX(products!$C$2:$C$5,MATCH(F$1,products!$B$2:$B$5,0)),AND($B47="",INDEX(products!$I$2:$I$5,MATCH(F$1,products!$B$2:$B$5,0))=1))),1,0)</f>
        <v>0</v>
      </c>
      <c r="G47" s="0" t="n">
        <f aca="false">IF(AND($D47&lt;=90,$C47&gt;=INDEX(products!$D$2:$D$5,MATCH(G$1,products!$B$2:$B$5,0)),OR($B47&gt;=INDEX(products!$C$2:$C$5,MATCH(G$1,products!$B$2:$B$5,0)),AND($B47="",INDEX(products!$I$2:$I$5,MATCH(G$1,products!$B$2:$B$5,0))=1))),1,0)</f>
        <v>1</v>
      </c>
      <c r="H47" s="0" t="n">
        <f aca="false">IF(AND($D47&lt;=90,$C47&gt;=INDEX(products!$D$2:$D$5,MATCH(H$1,products!$B$2:$B$5,0)),OR($B47&gt;=INDEX(products!$C$2:$C$5,MATCH(H$1,products!$B$2:$B$5,0)),AND($B47="",INDEX(products!$I$2:$I$5,MATCH(H$1,products!$B$2:$B$5,0))=1))),1,0)</f>
        <v>1</v>
      </c>
      <c r="I47" s="0" t="str">
        <f aca="false">IFERROR(INDEX($E$1:$H$1,MATCH(1,E47:H47,0)),"No offer")</f>
        <v>Starter</v>
      </c>
    </row>
    <row r="48" customFormat="false" ht="15" hidden="false" customHeight="false" outlineLevel="0" collapsed="false">
      <c r="A48" s="0" t="n">
        <v>5047</v>
      </c>
      <c r="B48" s="0" t="n">
        <v>593</v>
      </c>
      <c r="C48" s="0" t="n">
        <v>13000000</v>
      </c>
      <c r="D48" s="0" t="n">
        <v>4</v>
      </c>
      <c r="E48" s="0" t="n">
        <f aca="false">IF(AND($D48&lt;=90,$C48&gt;=INDEX(products!$D$2:$D$5,MATCH(E$1,products!$B$2:$B$5,0)),OR($B48&gt;=INDEX(products!$C$2:$C$5,MATCH(E$1,products!$B$2:$B$5,0)),AND($B48="",INDEX(products!$I$2:$I$5,MATCH(E$1,products!$B$2:$B$5,0))=1))),1,0)</f>
        <v>0</v>
      </c>
      <c r="F48" s="0" t="n">
        <f aca="false">IF(AND($D48&lt;=90,$C48&gt;=INDEX(products!$D$2:$D$5,MATCH(F$1,products!$B$2:$B$5,0)),OR($B48&gt;=INDEX(products!$C$2:$C$5,MATCH(F$1,products!$B$2:$B$5,0)),AND($B48="",INDEX(products!$I$2:$I$5,MATCH(F$1,products!$B$2:$B$5,0))=1))),1,0)</f>
        <v>0</v>
      </c>
      <c r="G48" s="0" t="n">
        <f aca="false">IF(AND($D48&lt;=90,$C48&gt;=INDEX(products!$D$2:$D$5,MATCH(G$1,products!$B$2:$B$5,0)),OR($B48&gt;=INDEX(products!$C$2:$C$5,MATCH(G$1,products!$B$2:$B$5,0)),AND($B48="",INDEX(products!$I$2:$I$5,MATCH(G$1,products!$B$2:$B$5,0))=1))),1,0)</f>
        <v>1</v>
      </c>
      <c r="H48" s="0" t="n">
        <f aca="false">IF(AND($D48&lt;=90,$C48&gt;=INDEX(products!$D$2:$D$5,MATCH(H$1,products!$B$2:$B$5,0)),OR($B48&gt;=INDEX(products!$C$2:$C$5,MATCH(H$1,products!$B$2:$B$5,0)),AND($B48="",INDEX(products!$I$2:$I$5,MATCH(H$1,products!$B$2:$B$5,0))=1))),1,0)</f>
        <v>1</v>
      </c>
      <c r="I48" s="0" t="str">
        <f aca="false">IFERROR(INDEX($E$1:$H$1,MATCH(1,E48:H48,0)),"No offer")</f>
        <v>Starter</v>
      </c>
    </row>
    <row r="49" customFormat="false" ht="15" hidden="false" customHeight="false" outlineLevel="0" collapsed="false">
      <c r="A49" s="0" t="n">
        <v>5048</v>
      </c>
      <c r="B49" s="0" t="n">
        <v>592</v>
      </c>
      <c r="C49" s="0" t="n">
        <v>17500000</v>
      </c>
      <c r="D49" s="0" t="n">
        <v>57</v>
      </c>
      <c r="E49" s="0" t="n">
        <f aca="false">IF(AND($D49&lt;=90,$C49&gt;=INDEX(products!$D$2:$D$5,MATCH(E$1,products!$B$2:$B$5,0)),OR($B49&gt;=INDEX(products!$C$2:$C$5,MATCH(E$1,products!$B$2:$B$5,0)),AND($B49="",INDEX(products!$I$2:$I$5,MATCH(E$1,products!$B$2:$B$5,0))=1))),1,0)</f>
        <v>0</v>
      </c>
      <c r="F49" s="0" t="n">
        <f aca="false">IF(AND($D49&lt;=90,$C49&gt;=INDEX(products!$D$2:$D$5,MATCH(F$1,products!$B$2:$B$5,0)),OR($B49&gt;=INDEX(products!$C$2:$C$5,MATCH(F$1,products!$B$2:$B$5,0)),AND($B49="",INDEX(products!$I$2:$I$5,MATCH(F$1,products!$B$2:$B$5,0))=1))),1,0)</f>
        <v>0</v>
      </c>
      <c r="G49" s="0" t="n">
        <f aca="false">IF(AND($D49&lt;=90,$C49&gt;=INDEX(products!$D$2:$D$5,MATCH(G$1,products!$B$2:$B$5,0)),OR($B49&gt;=INDEX(products!$C$2:$C$5,MATCH(G$1,products!$B$2:$B$5,0)),AND($B49="",INDEX(products!$I$2:$I$5,MATCH(G$1,products!$B$2:$B$5,0))=1))),1,0)</f>
        <v>1</v>
      </c>
      <c r="H49" s="0" t="n">
        <f aca="false">IF(AND($D49&lt;=90,$C49&gt;=INDEX(products!$D$2:$D$5,MATCH(H$1,products!$B$2:$B$5,0)),OR($B49&gt;=INDEX(products!$C$2:$C$5,MATCH(H$1,products!$B$2:$B$5,0)),AND($B49="",INDEX(products!$I$2:$I$5,MATCH(H$1,products!$B$2:$B$5,0))=1))),1,0)</f>
        <v>1</v>
      </c>
      <c r="I49" s="0" t="str">
        <f aca="false">IFERROR(INDEX($E$1:$H$1,MATCH(1,E49:H49,0)),"No offer")</f>
        <v>Starter</v>
      </c>
    </row>
    <row r="50" customFormat="false" ht="15" hidden="false" customHeight="false" outlineLevel="0" collapsed="false">
      <c r="A50" s="0" t="n">
        <v>5049</v>
      </c>
      <c r="B50" s="0" t="n">
        <v>570</v>
      </c>
      <c r="C50" s="0" t="n">
        <v>19500000</v>
      </c>
      <c r="D50" s="0" t="n">
        <v>13</v>
      </c>
      <c r="E50" s="0" t="n">
        <f aca="false">IF(AND($D50&lt;=90,$C50&gt;=INDEX(products!$D$2:$D$5,MATCH(E$1,products!$B$2:$B$5,0)),OR($B50&gt;=INDEX(products!$C$2:$C$5,MATCH(E$1,products!$B$2:$B$5,0)),AND($B50="",INDEX(products!$I$2:$I$5,MATCH(E$1,products!$B$2:$B$5,0))=1))),1,0)</f>
        <v>0</v>
      </c>
      <c r="F50" s="0" t="n">
        <f aca="false">IF(AND($D50&lt;=90,$C50&gt;=INDEX(products!$D$2:$D$5,MATCH(F$1,products!$B$2:$B$5,0)),OR($B50&gt;=INDEX(products!$C$2:$C$5,MATCH(F$1,products!$B$2:$B$5,0)),AND($B50="",INDEX(products!$I$2:$I$5,MATCH(F$1,products!$B$2:$B$5,0))=1))),1,0)</f>
        <v>0</v>
      </c>
      <c r="G50" s="0" t="n">
        <f aca="false">IF(AND($D50&lt;=90,$C50&gt;=INDEX(products!$D$2:$D$5,MATCH(G$1,products!$B$2:$B$5,0)),OR($B50&gt;=INDEX(products!$C$2:$C$5,MATCH(G$1,products!$B$2:$B$5,0)),AND($B50="",INDEX(products!$I$2:$I$5,MATCH(G$1,products!$B$2:$B$5,0))=1))),1,0)</f>
        <v>1</v>
      </c>
      <c r="H50" s="0" t="n">
        <f aca="false">IF(AND($D50&lt;=90,$C50&gt;=INDEX(products!$D$2:$D$5,MATCH(H$1,products!$B$2:$B$5,0)),OR($B50&gt;=INDEX(products!$C$2:$C$5,MATCH(H$1,products!$B$2:$B$5,0)),AND($B50="",INDEX(products!$I$2:$I$5,MATCH(H$1,products!$B$2:$B$5,0))=1))),1,0)</f>
        <v>1</v>
      </c>
      <c r="I50" s="0" t="str">
        <f aca="false">IFERROR(INDEX($E$1:$H$1,MATCH(1,E50:H50,0)),"No offer")</f>
        <v>Starter</v>
      </c>
    </row>
    <row r="51" customFormat="false" ht="15" hidden="false" customHeight="false" outlineLevel="0" collapsed="false">
      <c r="A51" s="0" t="n">
        <v>5050</v>
      </c>
      <c r="B51" s="0" t="n">
        <v>672</v>
      </c>
      <c r="C51" s="0" t="n">
        <v>12000000</v>
      </c>
      <c r="D51" s="0" t="n">
        <v>7</v>
      </c>
      <c r="E51" s="0" t="n">
        <f aca="false">IF(AND($D51&lt;=90,$C51&gt;=INDEX(products!$D$2:$D$5,MATCH(E$1,products!$B$2:$B$5,0)),OR($B51&gt;=INDEX(products!$C$2:$C$5,MATCH(E$1,products!$B$2:$B$5,0)),AND($B51="",INDEX(products!$I$2:$I$5,MATCH(E$1,products!$B$2:$B$5,0))=1))),1,0)</f>
        <v>0</v>
      </c>
      <c r="F51" s="0" t="n">
        <f aca="false">IF(AND($D51&lt;=90,$C51&gt;=INDEX(products!$D$2:$D$5,MATCH(F$1,products!$B$2:$B$5,0)),OR($B51&gt;=INDEX(products!$C$2:$C$5,MATCH(F$1,products!$B$2:$B$5,0)),AND($B51="",INDEX(products!$I$2:$I$5,MATCH(F$1,products!$B$2:$B$5,0))=1))),1,0)</f>
        <v>1</v>
      </c>
      <c r="G51" s="0" t="n">
        <f aca="false">IF(AND($D51&lt;=90,$C51&gt;=INDEX(products!$D$2:$D$5,MATCH(G$1,products!$B$2:$B$5,0)),OR($B51&gt;=INDEX(products!$C$2:$C$5,MATCH(G$1,products!$B$2:$B$5,0)),AND($B51="",INDEX(products!$I$2:$I$5,MATCH(G$1,products!$B$2:$B$5,0))=1))),1,0)</f>
        <v>1</v>
      </c>
      <c r="H51" s="0" t="n">
        <f aca="false">IF(AND($D51&lt;=90,$C51&gt;=INDEX(products!$D$2:$D$5,MATCH(H$1,products!$B$2:$B$5,0)),OR($B51&gt;=INDEX(products!$C$2:$C$5,MATCH(H$1,products!$B$2:$B$5,0)),AND($B51="",INDEX(products!$I$2:$I$5,MATCH(H$1,products!$B$2:$B$5,0))=1))),1,0)</f>
        <v>1</v>
      </c>
      <c r="I51" s="0" t="str">
        <f aca="false">IFERROR(INDEX($E$1:$H$1,MATCH(1,E51:H51,0)),"No offer")</f>
        <v>Standard</v>
      </c>
    </row>
    <row r="52" customFormat="false" ht="15" hidden="false" customHeight="false" outlineLevel="0" collapsed="false">
      <c r="A52" s="0" t="n">
        <v>5051</v>
      </c>
      <c r="B52" s="0" t="n">
        <v>700</v>
      </c>
      <c r="C52" s="0" t="n">
        <v>15000000</v>
      </c>
      <c r="D52" s="0" t="n">
        <v>8</v>
      </c>
      <c r="E52" s="0" t="n">
        <f aca="false">IF(AND($D52&lt;=90,$C52&gt;=INDEX(products!$D$2:$D$5,MATCH(E$1,products!$B$2:$B$5,0)),OR($B52&gt;=INDEX(products!$C$2:$C$5,MATCH(E$1,products!$B$2:$B$5,0)),AND($B52="",INDEX(products!$I$2:$I$5,MATCH(E$1,products!$B$2:$B$5,0))=1))),1,0)</f>
        <v>1</v>
      </c>
      <c r="F52" s="0" t="n">
        <f aca="false">IF(AND($D52&lt;=90,$C52&gt;=INDEX(products!$D$2:$D$5,MATCH(F$1,products!$B$2:$B$5,0)),OR($B52&gt;=INDEX(products!$C$2:$C$5,MATCH(F$1,products!$B$2:$B$5,0)),AND($B52="",INDEX(products!$I$2:$I$5,MATCH(F$1,products!$B$2:$B$5,0))=1))),1,0)</f>
        <v>1</v>
      </c>
      <c r="G52" s="0" t="n">
        <f aca="false">IF(AND($D52&lt;=90,$C52&gt;=INDEX(products!$D$2:$D$5,MATCH(G$1,products!$B$2:$B$5,0)),OR($B52&gt;=INDEX(products!$C$2:$C$5,MATCH(G$1,products!$B$2:$B$5,0)),AND($B52="",INDEX(products!$I$2:$I$5,MATCH(G$1,products!$B$2:$B$5,0))=1))),1,0)</f>
        <v>1</v>
      </c>
      <c r="H52" s="0" t="n">
        <f aca="false">IF(AND($D52&lt;=90,$C52&gt;=INDEX(products!$D$2:$D$5,MATCH(H$1,products!$B$2:$B$5,0)),OR($B52&gt;=INDEX(products!$C$2:$C$5,MATCH(H$1,products!$B$2:$B$5,0)),AND($B52="",INDEX(products!$I$2:$I$5,MATCH(H$1,products!$B$2:$B$5,0))=1))),1,0)</f>
        <v>1</v>
      </c>
      <c r="I52" s="0" t="str">
        <f aca="false">IFERROR(INDEX($E$1:$H$1,MATCH(1,E52:H52,0)),"No offer")</f>
        <v>Prime</v>
      </c>
    </row>
    <row r="53" customFormat="false" ht="15" hidden="false" customHeight="false" outlineLevel="0" collapsed="false">
      <c r="A53" s="0" t="n">
        <v>5052</v>
      </c>
      <c r="C53" s="0" t="n">
        <v>5000000</v>
      </c>
      <c r="D53" s="0" t="n">
        <v>0</v>
      </c>
      <c r="E53" s="0" t="n">
        <f aca="false">IF(AND($D53&lt;=90,$C53&gt;=INDEX(products!$D$2:$D$5,MATCH(E$1,products!$B$2:$B$5,0)),OR($B53&gt;=INDEX(products!$C$2:$C$5,MATCH(E$1,products!$B$2:$B$5,0)),AND($B53="",INDEX(products!$I$2:$I$5,MATCH(E$1,products!$B$2:$B$5,0))=1))),1,0)</f>
        <v>0</v>
      </c>
      <c r="F53" s="0" t="n">
        <f aca="false">IF(AND($D53&lt;=90,$C53&gt;=INDEX(products!$D$2:$D$5,MATCH(F$1,products!$B$2:$B$5,0)),OR($B53&gt;=INDEX(products!$C$2:$C$5,MATCH(F$1,products!$B$2:$B$5,0)),AND($B53="",INDEX(products!$I$2:$I$5,MATCH(F$1,products!$B$2:$B$5,0))=1))),1,0)</f>
        <v>0</v>
      </c>
      <c r="G53" s="0" t="n">
        <f aca="false">IF(AND($D53&lt;=90,$C53&gt;=INDEX(products!$D$2:$D$5,MATCH(G$1,products!$B$2:$B$5,0)),OR($B53&gt;=INDEX(products!$C$2:$C$5,MATCH(G$1,products!$B$2:$B$5,0)),AND($B53="",INDEX(products!$I$2:$I$5,MATCH(G$1,products!$B$2:$B$5,0))=1))),1,0)</f>
        <v>0</v>
      </c>
      <c r="H53" s="0" t="n">
        <f aca="false">IF(AND($D53&lt;=90,$C53&gt;=INDEX(products!$D$2:$D$5,MATCH(H$1,products!$B$2:$B$5,0)),OR($B53&gt;=INDEX(products!$C$2:$C$5,MATCH(H$1,products!$B$2:$B$5,0)),AND($B53="",INDEX(products!$I$2:$I$5,MATCH(H$1,products!$B$2:$B$5,0))=1))),1,0)</f>
        <v>1</v>
      </c>
      <c r="I53" s="0" t="str">
        <f aca="false">IFERROR(INDEX($E$1:$H$1,MATCH(1,E53:H53,0)),"No offer")</f>
        <v>Micro</v>
      </c>
    </row>
    <row r="54" customFormat="false" ht="15" hidden="false" customHeight="false" outlineLevel="0" collapsed="false">
      <c r="A54" s="0" t="n">
        <v>5053</v>
      </c>
      <c r="B54" s="0" t="n">
        <v>431</v>
      </c>
      <c r="C54" s="0" t="n">
        <v>43500000</v>
      </c>
      <c r="D54" s="0" t="n">
        <v>109</v>
      </c>
      <c r="E54" s="0" t="n">
        <f aca="false">IF(AND($D54&lt;=90,$C54&gt;=INDEX(products!$D$2:$D$5,MATCH(E$1,products!$B$2:$B$5,0)),OR($B54&gt;=INDEX(products!$C$2:$C$5,MATCH(E$1,products!$B$2:$B$5,0)),AND($B54="",INDEX(products!$I$2:$I$5,MATCH(E$1,products!$B$2:$B$5,0))=1))),1,0)</f>
        <v>0</v>
      </c>
      <c r="F54" s="0" t="n">
        <f aca="false">IF(AND($D54&lt;=90,$C54&gt;=INDEX(products!$D$2:$D$5,MATCH(F$1,products!$B$2:$B$5,0)),OR($B54&gt;=INDEX(products!$C$2:$C$5,MATCH(F$1,products!$B$2:$B$5,0)),AND($B54="",INDEX(products!$I$2:$I$5,MATCH(F$1,products!$B$2:$B$5,0))=1))),1,0)</f>
        <v>0</v>
      </c>
      <c r="G54" s="0" t="n">
        <f aca="false">IF(AND($D54&lt;=90,$C54&gt;=INDEX(products!$D$2:$D$5,MATCH(G$1,products!$B$2:$B$5,0)),OR($B54&gt;=INDEX(products!$C$2:$C$5,MATCH(G$1,products!$B$2:$B$5,0)),AND($B54="",INDEX(products!$I$2:$I$5,MATCH(G$1,products!$B$2:$B$5,0))=1))),1,0)</f>
        <v>0</v>
      </c>
      <c r="H54" s="0" t="n">
        <f aca="false">IF(AND($D54&lt;=90,$C54&gt;=INDEX(products!$D$2:$D$5,MATCH(H$1,products!$B$2:$B$5,0)),OR($B54&gt;=INDEX(products!$C$2:$C$5,MATCH(H$1,products!$B$2:$B$5,0)),AND($B54="",INDEX(products!$I$2:$I$5,MATCH(H$1,products!$B$2:$B$5,0))=1))),1,0)</f>
        <v>0</v>
      </c>
      <c r="I54" s="0" t="str">
        <f aca="false">IFERROR(INDEX($E$1:$H$1,MATCH(1,E54:H54,0)),"No offer")</f>
        <v>No offer</v>
      </c>
    </row>
    <row r="55" customFormat="false" ht="15" hidden="false" customHeight="false" outlineLevel="0" collapsed="false">
      <c r="A55" s="0" t="n">
        <v>5054</v>
      </c>
      <c r="B55" s="0" t="n">
        <v>321</v>
      </c>
      <c r="C55" s="0" t="n">
        <v>7500000</v>
      </c>
      <c r="D55" s="0" t="n">
        <v>264</v>
      </c>
      <c r="E55" s="0" t="n">
        <f aca="false">IF(AND($D55&lt;=90,$C55&gt;=INDEX(products!$D$2:$D$5,MATCH(E$1,products!$B$2:$B$5,0)),OR($B55&gt;=INDEX(products!$C$2:$C$5,MATCH(E$1,products!$B$2:$B$5,0)),AND($B55="",INDEX(products!$I$2:$I$5,MATCH(E$1,products!$B$2:$B$5,0))=1))),1,0)</f>
        <v>0</v>
      </c>
      <c r="F55" s="0" t="n">
        <f aca="false">IF(AND($D55&lt;=90,$C55&gt;=INDEX(products!$D$2:$D$5,MATCH(F$1,products!$B$2:$B$5,0)),OR($B55&gt;=INDEX(products!$C$2:$C$5,MATCH(F$1,products!$B$2:$B$5,0)),AND($B55="",INDEX(products!$I$2:$I$5,MATCH(F$1,products!$B$2:$B$5,0))=1))),1,0)</f>
        <v>0</v>
      </c>
      <c r="G55" s="0" t="n">
        <f aca="false">IF(AND($D55&lt;=90,$C55&gt;=INDEX(products!$D$2:$D$5,MATCH(G$1,products!$B$2:$B$5,0)),OR($B55&gt;=INDEX(products!$C$2:$C$5,MATCH(G$1,products!$B$2:$B$5,0)),AND($B55="",INDEX(products!$I$2:$I$5,MATCH(G$1,products!$B$2:$B$5,0))=1))),1,0)</f>
        <v>0</v>
      </c>
      <c r="H55" s="0" t="n">
        <f aca="false">IF(AND($D55&lt;=90,$C55&gt;=INDEX(products!$D$2:$D$5,MATCH(H$1,products!$B$2:$B$5,0)),OR($B55&gt;=INDEX(products!$C$2:$C$5,MATCH(H$1,products!$B$2:$B$5,0)),AND($B55="",INDEX(products!$I$2:$I$5,MATCH(H$1,products!$B$2:$B$5,0))=1))),1,0)</f>
        <v>0</v>
      </c>
      <c r="I55" s="0" t="str">
        <f aca="false">IFERROR(INDEX($E$1:$H$1,MATCH(1,E55:H55,0)),"No offer")</f>
        <v>No offer</v>
      </c>
    </row>
    <row r="56" customFormat="false" ht="15" hidden="false" customHeight="false" outlineLevel="0" collapsed="false">
      <c r="A56" s="0" t="n">
        <v>5055</v>
      </c>
      <c r="C56" s="0" t="n">
        <v>21000000</v>
      </c>
      <c r="D56" s="0" t="n">
        <v>0</v>
      </c>
      <c r="E56" s="0" t="n">
        <f aca="false">IF(AND($D56&lt;=90,$C56&gt;=INDEX(products!$D$2:$D$5,MATCH(E$1,products!$B$2:$B$5,0)),OR($B56&gt;=INDEX(products!$C$2:$C$5,MATCH(E$1,products!$B$2:$B$5,0)),AND($B56="",INDEX(products!$I$2:$I$5,MATCH(E$1,products!$B$2:$B$5,0))=1))),1,0)</f>
        <v>0</v>
      </c>
      <c r="F56" s="0" t="n">
        <f aca="false">IF(AND($D56&lt;=90,$C56&gt;=INDEX(products!$D$2:$D$5,MATCH(F$1,products!$B$2:$B$5,0)),OR($B56&gt;=INDEX(products!$C$2:$C$5,MATCH(F$1,products!$B$2:$B$5,0)),AND($B56="",INDEX(products!$I$2:$I$5,MATCH(F$1,products!$B$2:$B$5,0))=1))),1,0)</f>
        <v>0</v>
      </c>
      <c r="G56" s="0" t="n">
        <f aca="false">IF(AND($D56&lt;=90,$C56&gt;=INDEX(products!$D$2:$D$5,MATCH(G$1,products!$B$2:$B$5,0)),OR($B56&gt;=INDEX(products!$C$2:$C$5,MATCH(G$1,products!$B$2:$B$5,0)),AND($B56="",INDEX(products!$I$2:$I$5,MATCH(G$1,products!$B$2:$B$5,0))=1))),1,0)</f>
        <v>0</v>
      </c>
      <c r="H56" s="0" t="n">
        <f aca="false">IF(AND($D56&lt;=90,$C56&gt;=INDEX(products!$D$2:$D$5,MATCH(H$1,products!$B$2:$B$5,0)),OR($B56&gt;=INDEX(products!$C$2:$C$5,MATCH(H$1,products!$B$2:$B$5,0)),AND($B56="",INDEX(products!$I$2:$I$5,MATCH(H$1,products!$B$2:$B$5,0))=1))),1,0)</f>
        <v>1</v>
      </c>
      <c r="I56" s="0" t="str">
        <f aca="false">IFERROR(INDEX($E$1:$H$1,MATCH(1,E56:H56,0)),"No offer")</f>
        <v>Micro</v>
      </c>
    </row>
    <row r="57" customFormat="false" ht="15" hidden="false" customHeight="false" outlineLevel="0" collapsed="false">
      <c r="A57" s="0" t="n">
        <v>5056</v>
      </c>
      <c r="B57" s="0" t="n">
        <v>567</v>
      </c>
      <c r="C57" s="0" t="n">
        <v>11500000</v>
      </c>
      <c r="D57" s="0" t="n">
        <v>6</v>
      </c>
      <c r="E57" s="0" t="n">
        <f aca="false">IF(AND($D57&lt;=90,$C57&gt;=INDEX(products!$D$2:$D$5,MATCH(E$1,products!$B$2:$B$5,0)),OR($B57&gt;=INDEX(products!$C$2:$C$5,MATCH(E$1,products!$B$2:$B$5,0)),AND($B57="",INDEX(products!$I$2:$I$5,MATCH(E$1,products!$B$2:$B$5,0))=1))),1,0)</f>
        <v>0</v>
      </c>
      <c r="F57" s="0" t="n">
        <f aca="false">IF(AND($D57&lt;=90,$C57&gt;=INDEX(products!$D$2:$D$5,MATCH(F$1,products!$B$2:$B$5,0)),OR($B57&gt;=INDEX(products!$C$2:$C$5,MATCH(F$1,products!$B$2:$B$5,0)),AND($B57="",INDEX(products!$I$2:$I$5,MATCH(F$1,products!$B$2:$B$5,0))=1))),1,0)</f>
        <v>0</v>
      </c>
      <c r="G57" s="0" t="n">
        <f aca="false">IF(AND($D57&lt;=90,$C57&gt;=INDEX(products!$D$2:$D$5,MATCH(G$1,products!$B$2:$B$5,0)),OR($B57&gt;=INDEX(products!$C$2:$C$5,MATCH(G$1,products!$B$2:$B$5,0)),AND($B57="",INDEX(products!$I$2:$I$5,MATCH(G$1,products!$B$2:$B$5,0))=1))),1,0)</f>
        <v>1</v>
      </c>
      <c r="H57" s="0" t="n">
        <f aca="false">IF(AND($D57&lt;=90,$C57&gt;=INDEX(products!$D$2:$D$5,MATCH(H$1,products!$B$2:$B$5,0)),OR($B57&gt;=INDEX(products!$C$2:$C$5,MATCH(H$1,products!$B$2:$B$5,0)),AND($B57="",INDEX(products!$I$2:$I$5,MATCH(H$1,products!$B$2:$B$5,0))=1))),1,0)</f>
        <v>1</v>
      </c>
      <c r="I57" s="0" t="str">
        <f aca="false">IFERROR(INDEX($E$1:$H$1,MATCH(1,E57:H57,0)),"No offer")</f>
        <v>Starter</v>
      </c>
    </row>
    <row r="58" customFormat="false" ht="15" hidden="false" customHeight="false" outlineLevel="0" collapsed="false">
      <c r="A58" s="0" t="n">
        <v>5057</v>
      </c>
      <c r="B58" s="0" t="n">
        <v>500</v>
      </c>
      <c r="C58" s="0" t="n">
        <v>7000000</v>
      </c>
      <c r="D58" s="0" t="n">
        <v>9</v>
      </c>
      <c r="E58" s="0" t="n">
        <f aca="false">IF(AND($D58&lt;=90,$C58&gt;=INDEX(products!$D$2:$D$5,MATCH(E$1,products!$B$2:$B$5,0)),OR($B58&gt;=INDEX(products!$C$2:$C$5,MATCH(E$1,products!$B$2:$B$5,0)),AND($B58="",INDEX(products!$I$2:$I$5,MATCH(E$1,products!$B$2:$B$5,0))=1))),1,0)</f>
        <v>0</v>
      </c>
      <c r="F58" s="0" t="n">
        <f aca="false">IF(AND($D58&lt;=90,$C58&gt;=INDEX(products!$D$2:$D$5,MATCH(F$1,products!$B$2:$B$5,0)),OR($B58&gt;=INDEX(products!$C$2:$C$5,MATCH(F$1,products!$B$2:$B$5,0)),AND($B58="",INDEX(products!$I$2:$I$5,MATCH(F$1,products!$B$2:$B$5,0))=1))),1,0)</f>
        <v>0</v>
      </c>
      <c r="G58" s="0" t="n">
        <f aca="false">IF(AND($D58&lt;=90,$C58&gt;=INDEX(products!$D$2:$D$5,MATCH(G$1,products!$B$2:$B$5,0)),OR($B58&gt;=INDEX(products!$C$2:$C$5,MATCH(G$1,products!$B$2:$B$5,0)),AND($B58="",INDEX(products!$I$2:$I$5,MATCH(G$1,products!$B$2:$B$5,0))=1))),1,0)</f>
        <v>1</v>
      </c>
      <c r="H58" s="0" t="n">
        <f aca="false">IF(AND($D58&lt;=90,$C58&gt;=INDEX(products!$D$2:$D$5,MATCH(H$1,products!$B$2:$B$5,0)),OR($B58&gt;=INDEX(products!$C$2:$C$5,MATCH(H$1,products!$B$2:$B$5,0)),AND($B58="",INDEX(products!$I$2:$I$5,MATCH(H$1,products!$B$2:$B$5,0))=1))),1,0)</f>
        <v>1</v>
      </c>
      <c r="I58" s="0" t="str">
        <f aca="false">IFERROR(INDEX($E$1:$H$1,MATCH(1,E58:H58,0)),"No offer")</f>
        <v>Starter</v>
      </c>
    </row>
    <row r="59" customFormat="false" ht="15" hidden="false" customHeight="false" outlineLevel="0" collapsed="false">
      <c r="A59" s="0" t="n">
        <v>5058</v>
      </c>
      <c r="B59" s="0" t="n">
        <v>726</v>
      </c>
      <c r="C59" s="0" t="n">
        <v>17000000</v>
      </c>
      <c r="D59" s="0" t="n">
        <v>5</v>
      </c>
      <c r="E59" s="0" t="n">
        <f aca="false">IF(AND($D59&lt;=90,$C59&gt;=INDEX(products!$D$2:$D$5,MATCH(E$1,products!$B$2:$B$5,0)),OR($B59&gt;=INDEX(products!$C$2:$C$5,MATCH(E$1,products!$B$2:$B$5,0)),AND($B59="",INDEX(products!$I$2:$I$5,MATCH(E$1,products!$B$2:$B$5,0))=1))),1,0)</f>
        <v>1</v>
      </c>
      <c r="F59" s="0" t="n">
        <f aca="false">IF(AND($D59&lt;=90,$C59&gt;=INDEX(products!$D$2:$D$5,MATCH(F$1,products!$B$2:$B$5,0)),OR($B59&gt;=INDEX(products!$C$2:$C$5,MATCH(F$1,products!$B$2:$B$5,0)),AND($B59="",INDEX(products!$I$2:$I$5,MATCH(F$1,products!$B$2:$B$5,0))=1))),1,0)</f>
        <v>1</v>
      </c>
      <c r="G59" s="0" t="n">
        <f aca="false">IF(AND($D59&lt;=90,$C59&gt;=INDEX(products!$D$2:$D$5,MATCH(G$1,products!$B$2:$B$5,0)),OR($B59&gt;=INDEX(products!$C$2:$C$5,MATCH(G$1,products!$B$2:$B$5,0)),AND($B59="",INDEX(products!$I$2:$I$5,MATCH(G$1,products!$B$2:$B$5,0))=1))),1,0)</f>
        <v>1</v>
      </c>
      <c r="H59" s="0" t="n">
        <f aca="false">IF(AND($D59&lt;=90,$C59&gt;=INDEX(products!$D$2:$D$5,MATCH(H$1,products!$B$2:$B$5,0)),OR($B59&gt;=INDEX(products!$C$2:$C$5,MATCH(H$1,products!$B$2:$B$5,0)),AND($B59="",INDEX(products!$I$2:$I$5,MATCH(H$1,products!$B$2:$B$5,0))=1))),1,0)</f>
        <v>1</v>
      </c>
      <c r="I59" s="0" t="str">
        <f aca="false">IFERROR(INDEX($E$1:$H$1,MATCH(1,E59:H59,0)),"No offer")</f>
        <v>Prime</v>
      </c>
    </row>
    <row r="60" customFormat="false" ht="15" hidden="false" customHeight="false" outlineLevel="0" collapsed="false">
      <c r="A60" s="0" t="n">
        <v>5059</v>
      </c>
      <c r="B60" s="0" t="n">
        <v>329</v>
      </c>
      <c r="C60" s="0" t="n">
        <v>8500000</v>
      </c>
      <c r="D60" s="0" t="n">
        <v>155</v>
      </c>
      <c r="E60" s="0" t="n">
        <f aca="false">IF(AND($D60&lt;=90,$C60&gt;=INDEX(products!$D$2:$D$5,MATCH(E$1,products!$B$2:$B$5,0)),OR($B60&gt;=INDEX(products!$C$2:$C$5,MATCH(E$1,products!$B$2:$B$5,0)),AND($B60="",INDEX(products!$I$2:$I$5,MATCH(E$1,products!$B$2:$B$5,0))=1))),1,0)</f>
        <v>0</v>
      </c>
      <c r="F60" s="0" t="n">
        <f aca="false">IF(AND($D60&lt;=90,$C60&gt;=INDEX(products!$D$2:$D$5,MATCH(F$1,products!$B$2:$B$5,0)),OR($B60&gt;=INDEX(products!$C$2:$C$5,MATCH(F$1,products!$B$2:$B$5,0)),AND($B60="",INDEX(products!$I$2:$I$5,MATCH(F$1,products!$B$2:$B$5,0))=1))),1,0)</f>
        <v>0</v>
      </c>
      <c r="G60" s="0" t="n">
        <f aca="false">IF(AND($D60&lt;=90,$C60&gt;=INDEX(products!$D$2:$D$5,MATCH(G$1,products!$B$2:$B$5,0)),OR($B60&gt;=INDEX(products!$C$2:$C$5,MATCH(G$1,products!$B$2:$B$5,0)),AND($B60="",INDEX(products!$I$2:$I$5,MATCH(G$1,products!$B$2:$B$5,0))=1))),1,0)</f>
        <v>0</v>
      </c>
      <c r="H60" s="0" t="n">
        <f aca="false">IF(AND($D60&lt;=90,$C60&gt;=INDEX(products!$D$2:$D$5,MATCH(H$1,products!$B$2:$B$5,0)),OR($B60&gt;=INDEX(products!$C$2:$C$5,MATCH(H$1,products!$B$2:$B$5,0)),AND($B60="",INDEX(products!$I$2:$I$5,MATCH(H$1,products!$B$2:$B$5,0))=1))),1,0)</f>
        <v>0</v>
      </c>
      <c r="I60" s="0" t="str">
        <f aca="false">IFERROR(INDEX($E$1:$H$1,MATCH(1,E60:H60,0)),"No offer")</f>
        <v>No offer</v>
      </c>
    </row>
    <row r="61" customFormat="false" ht="15" hidden="false" customHeight="false" outlineLevel="0" collapsed="false">
      <c r="A61" s="0" t="n">
        <v>5060</v>
      </c>
      <c r="B61" s="0" t="n">
        <v>796</v>
      </c>
      <c r="C61" s="0" t="n">
        <v>20000000</v>
      </c>
      <c r="D61" s="0" t="n">
        <v>7</v>
      </c>
      <c r="E61" s="0" t="n">
        <f aca="false">IF(AND($D61&lt;=90,$C61&gt;=INDEX(products!$D$2:$D$5,MATCH(E$1,products!$B$2:$B$5,0)),OR($B61&gt;=INDEX(products!$C$2:$C$5,MATCH(E$1,products!$B$2:$B$5,0)),AND($B61="",INDEX(products!$I$2:$I$5,MATCH(E$1,products!$B$2:$B$5,0))=1))),1,0)</f>
        <v>1</v>
      </c>
      <c r="F61" s="0" t="n">
        <f aca="false">IF(AND($D61&lt;=90,$C61&gt;=INDEX(products!$D$2:$D$5,MATCH(F$1,products!$B$2:$B$5,0)),OR($B61&gt;=INDEX(products!$C$2:$C$5,MATCH(F$1,products!$B$2:$B$5,0)),AND($B61="",INDEX(products!$I$2:$I$5,MATCH(F$1,products!$B$2:$B$5,0))=1))),1,0)</f>
        <v>1</v>
      </c>
      <c r="G61" s="0" t="n">
        <f aca="false">IF(AND($D61&lt;=90,$C61&gt;=INDEX(products!$D$2:$D$5,MATCH(G$1,products!$B$2:$B$5,0)),OR($B61&gt;=INDEX(products!$C$2:$C$5,MATCH(G$1,products!$B$2:$B$5,0)),AND($B61="",INDEX(products!$I$2:$I$5,MATCH(G$1,products!$B$2:$B$5,0))=1))),1,0)</f>
        <v>1</v>
      </c>
      <c r="H61" s="0" t="n">
        <f aca="false">IF(AND($D61&lt;=90,$C61&gt;=INDEX(products!$D$2:$D$5,MATCH(H$1,products!$B$2:$B$5,0)),OR($B61&gt;=INDEX(products!$C$2:$C$5,MATCH(H$1,products!$B$2:$B$5,0)),AND($B61="",INDEX(products!$I$2:$I$5,MATCH(H$1,products!$B$2:$B$5,0))=1))),1,0)</f>
        <v>1</v>
      </c>
      <c r="I61" s="0" t="str">
        <f aca="false">IFERROR(INDEX($E$1:$H$1,MATCH(1,E61:H61,0)),"No offer")</f>
        <v>Prime</v>
      </c>
    </row>
    <row r="62" customFormat="false" ht="15" hidden="false" customHeight="false" outlineLevel="0" collapsed="false">
      <c r="A62" s="0" t="n">
        <v>5061</v>
      </c>
      <c r="B62" s="0" t="n">
        <v>650</v>
      </c>
      <c r="C62" s="0" t="n">
        <v>12000000</v>
      </c>
      <c r="D62" s="0" t="n">
        <v>90</v>
      </c>
      <c r="E62" s="0" t="n">
        <f aca="false">IF(AND($D62&lt;=90,$C62&gt;=INDEX(products!$D$2:$D$5,MATCH(E$1,products!$B$2:$B$5,0)),OR($B62&gt;=INDEX(products!$C$2:$C$5,MATCH(E$1,products!$B$2:$B$5,0)),AND($B62="",INDEX(products!$I$2:$I$5,MATCH(E$1,products!$B$2:$B$5,0))=1))),1,0)</f>
        <v>0</v>
      </c>
      <c r="F62" s="0" t="n">
        <f aca="false">IF(AND($D62&lt;=90,$C62&gt;=INDEX(products!$D$2:$D$5,MATCH(F$1,products!$B$2:$B$5,0)),OR($B62&gt;=INDEX(products!$C$2:$C$5,MATCH(F$1,products!$B$2:$B$5,0)),AND($B62="",INDEX(products!$I$2:$I$5,MATCH(F$1,products!$B$2:$B$5,0))=1))),1,0)</f>
        <v>1</v>
      </c>
      <c r="G62" s="0" t="n">
        <f aca="false">IF(AND($D62&lt;=90,$C62&gt;=INDEX(products!$D$2:$D$5,MATCH(G$1,products!$B$2:$B$5,0)),OR($B62&gt;=INDEX(products!$C$2:$C$5,MATCH(G$1,products!$B$2:$B$5,0)),AND($B62="",INDEX(products!$I$2:$I$5,MATCH(G$1,products!$B$2:$B$5,0))=1))),1,0)</f>
        <v>1</v>
      </c>
      <c r="H62" s="0" t="n">
        <f aca="false">IF(AND($D62&lt;=90,$C62&gt;=INDEX(products!$D$2:$D$5,MATCH(H$1,products!$B$2:$B$5,0)),OR($B62&gt;=INDEX(products!$C$2:$C$5,MATCH(H$1,products!$B$2:$B$5,0)),AND($B62="",INDEX(products!$I$2:$I$5,MATCH(H$1,products!$B$2:$B$5,0))=1))),1,0)</f>
        <v>1</v>
      </c>
      <c r="I62" s="0" t="str">
        <f aca="false">IFERROR(INDEX($E$1:$H$1,MATCH(1,E62:H62,0)),"No offer")</f>
        <v>Standard</v>
      </c>
    </row>
    <row r="63" customFormat="false" ht="15" hidden="false" customHeight="false" outlineLevel="0" collapsed="false">
      <c r="A63" s="0" t="n">
        <v>5062</v>
      </c>
      <c r="B63" s="0" t="n">
        <v>765</v>
      </c>
      <c r="C63" s="0" t="n">
        <v>11500000</v>
      </c>
      <c r="D63" s="0" t="n">
        <v>5</v>
      </c>
      <c r="E63" s="0" t="n">
        <f aca="false">IF(AND($D63&lt;=90,$C63&gt;=INDEX(products!$D$2:$D$5,MATCH(E$1,products!$B$2:$B$5,0)),OR($B63&gt;=INDEX(products!$C$2:$C$5,MATCH(E$1,products!$B$2:$B$5,0)),AND($B63="",INDEX(products!$I$2:$I$5,MATCH(E$1,products!$B$2:$B$5,0))=1))),1,0)</f>
        <v>0</v>
      </c>
      <c r="F63" s="0" t="n">
        <f aca="false">IF(AND($D63&lt;=90,$C63&gt;=INDEX(products!$D$2:$D$5,MATCH(F$1,products!$B$2:$B$5,0)),OR($B63&gt;=INDEX(products!$C$2:$C$5,MATCH(F$1,products!$B$2:$B$5,0)),AND($B63="",INDEX(products!$I$2:$I$5,MATCH(F$1,products!$B$2:$B$5,0))=1))),1,0)</f>
        <v>1</v>
      </c>
      <c r="G63" s="0" t="n">
        <f aca="false">IF(AND($D63&lt;=90,$C63&gt;=INDEX(products!$D$2:$D$5,MATCH(G$1,products!$B$2:$B$5,0)),OR($B63&gt;=INDEX(products!$C$2:$C$5,MATCH(G$1,products!$B$2:$B$5,0)),AND($B63="",INDEX(products!$I$2:$I$5,MATCH(G$1,products!$B$2:$B$5,0))=1))),1,0)</f>
        <v>1</v>
      </c>
      <c r="H63" s="0" t="n">
        <f aca="false">IF(AND($D63&lt;=90,$C63&gt;=INDEX(products!$D$2:$D$5,MATCH(H$1,products!$B$2:$B$5,0)),OR($B63&gt;=INDEX(products!$C$2:$C$5,MATCH(H$1,products!$B$2:$B$5,0)),AND($B63="",INDEX(products!$I$2:$I$5,MATCH(H$1,products!$B$2:$B$5,0))=1))),1,0)</f>
        <v>1</v>
      </c>
      <c r="I63" s="0" t="str">
        <f aca="false">IFERROR(INDEX($E$1:$H$1,MATCH(1,E63:H63,0)),"No offer")</f>
        <v>Standard</v>
      </c>
    </row>
    <row r="64" customFormat="false" ht="15" hidden="false" customHeight="false" outlineLevel="0" collapsed="false">
      <c r="A64" s="0" t="n">
        <v>5063</v>
      </c>
      <c r="B64" s="0" t="n">
        <v>719</v>
      </c>
      <c r="C64" s="0" t="n">
        <v>15500000</v>
      </c>
      <c r="D64" s="0" t="n">
        <v>8</v>
      </c>
      <c r="E64" s="0" t="n">
        <f aca="false">IF(AND($D64&lt;=90,$C64&gt;=INDEX(products!$D$2:$D$5,MATCH(E$1,products!$B$2:$B$5,0)),OR($B64&gt;=INDEX(products!$C$2:$C$5,MATCH(E$1,products!$B$2:$B$5,0)),AND($B64="",INDEX(products!$I$2:$I$5,MATCH(E$1,products!$B$2:$B$5,0))=1))),1,0)</f>
        <v>1</v>
      </c>
      <c r="F64" s="0" t="n">
        <f aca="false">IF(AND($D64&lt;=90,$C64&gt;=INDEX(products!$D$2:$D$5,MATCH(F$1,products!$B$2:$B$5,0)),OR($B64&gt;=INDEX(products!$C$2:$C$5,MATCH(F$1,products!$B$2:$B$5,0)),AND($B64="",INDEX(products!$I$2:$I$5,MATCH(F$1,products!$B$2:$B$5,0))=1))),1,0)</f>
        <v>1</v>
      </c>
      <c r="G64" s="0" t="n">
        <f aca="false">IF(AND($D64&lt;=90,$C64&gt;=INDEX(products!$D$2:$D$5,MATCH(G$1,products!$B$2:$B$5,0)),OR($B64&gt;=INDEX(products!$C$2:$C$5,MATCH(G$1,products!$B$2:$B$5,0)),AND($B64="",INDEX(products!$I$2:$I$5,MATCH(G$1,products!$B$2:$B$5,0))=1))),1,0)</f>
        <v>1</v>
      </c>
      <c r="H64" s="0" t="n">
        <f aca="false">IF(AND($D64&lt;=90,$C64&gt;=INDEX(products!$D$2:$D$5,MATCH(H$1,products!$B$2:$B$5,0)),OR($B64&gt;=INDEX(products!$C$2:$C$5,MATCH(H$1,products!$B$2:$B$5,0)),AND($B64="",INDEX(products!$I$2:$I$5,MATCH(H$1,products!$B$2:$B$5,0))=1))),1,0)</f>
        <v>1</v>
      </c>
      <c r="I64" s="0" t="str">
        <f aca="false">IFERROR(INDEX($E$1:$H$1,MATCH(1,E64:H64,0)),"No offer")</f>
        <v>Prime</v>
      </c>
    </row>
    <row r="65" customFormat="false" ht="15" hidden="false" customHeight="false" outlineLevel="0" collapsed="false">
      <c r="A65" s="0" t="n">
        <v>5064</v>
      </c>
      <c r="B65" s="0" t="n">
        <v>803</v>
      </c>
      <c r="C65" s="0" t="n">
        <v>7000000</v>
      </c>
      <c r="D65" s="0" t="n">
        <v>7</v>
      </c>
      <c r="E65" s="0" t="n">
        <f aca="false">IF(AND($D65&lt;=90,$C65&gt;=INDEX(products!$D$2:$D$5,MATCH(E$1,products!$B$2:$B$5,0)),OR($B65&gt;=INDEX(products!$C$2:$C$5,MATCH(E$1,products!$B$2:$B$5,0)),AND($B65="",INDEX(products!$I$2:$I$5,MATCH(E$1,products!$B$2:$B$5,0))=1))),1,0)</f>
        <v>0</v>
      </c>
      <c r="F65" s="0" t="n">
        <f aca="false">IF(AND($D65&lt;=90,$C65&gt;=INDEX(products!$D$2:$D$5,MATCH(F$1,products!$B$2:$B$5,0)),OR($B65&gt;=INDEX(products!$C$2:$C$5,MATCH(F$1,products!$B$2:$B$5,0)),AND($B65="",INDEX(products!$I$2:$I$5,MATCH(F$1,products!$B$2:$B$5,0))=1))),1,0)</f>
        <v>0</v>
      </c>
      <c r="G65" s="0" t="n">
        <f aca="false">IF(AND($D65&lt;=90,$C65&gt;=INDEX(products!$D$2:$D$5,MATCH(G$1,products!$B$2:$B$5,0)),OR($B65&gt;=INDEX(products!$C$2:$C$5,MATCH(G$1,products!$B$2:$B$5,0)),AND($B65="",INDEX(products!$I$2:$I$5,MATCH(G$1,products!$B$2:$B$5,0))=1))),1,0)</f>
        <v>1</v>
      </c>
      <c r="H65" s="0" t="n">
        <f aca="false">IF(AND($D65&lt;=90,$C65&gt;=INDEX(products!$D$2:$D$5,MATCH(H$1,products!$B$2:$B$5,0)),OR($B65&gt;=INDEX(products!$C$2:$C$5,MATCH(H$1,products!$B$2:$B$5,0)),AND($B65="",INDEX(products!$I$2:$I$5,MATCH(H$1,products!$B$2:$B$5,0))=1))),1,0)</f>
        <v>1</v>
      </c>
      <c r="I65" s="0" t="str">
        <f aca="false">IFERROR(INDEX($E$1:$H$1,MATCH(1,E65:H65,0)),"No offer")</f>
        <v>Starter</v>
      </c>
    </row>
    <row r="66" customFormat="false" ht="15" hidden="false" customHeight="false" outlineLevel="0" collapsed="false">
      <c r="A66" s="0" t="n">
        <v>5065</v>
      </c>
      <c r="C66" s="0" t="n">
        <v>6500000</v>
      </c>
      <c r="D66" s="0" t="n">
        <v>0</v>
      </c>
      <c r="E66" s="0" t="n">
        <f aca="false">IF(AND($D66&lt;=90,$C66&gt;=INDEX(products!$D$2:$D$5,MATCH(E$1,products!$B$2:$B$5,0)),OR($B66&gt;=INDEX(products!$C$2:$C$5,MATCH(E$1,products!$B$2:$B$5,0)),AND($B66="",INDEX(products!$I$2:$I$5,MATCH(E$1,products!$B$2:$B$5,0))=1))),1,0)</f>
        <v>0</v>
      </c>
      <c r="F66" s="0" t="n">
        <f aca="false">IF(AND($D66&lt;=90,$C66&gt;=INDEX(products!$D$2:$D$5,MATCH(F$1,products!$B$2:$B$5,0)),OR($B66&gt;=INDEX(products!$C$2:$C$5,MATCH(F$1,products!$B$2:$B$5,0)),AND($B66="",INDEX(products!$I$2:$I$5,MATCH(F$1,products!$B$2:$B$5,0))=1))),1,0)</f>
        <v>0</v>
      </c>
      <c r="G66" s="0" t="n">
        <f aca="false">IF(AND($D66&lt;=90,$C66&gt;=INDEX(products!$D$2:$D$5,MATCH(G$1,products!$B$2:$B$5,0)),OR($B66&gt;=INDEX(products!$C$2:$C$5,MATCH(G$1,products!$B$2:$B$5,0)),AND($B66="",INDEX(products!$I$2:$I$5,MATCH(G$1,products!$B$2:$B$5,0))=1))),1,0)</f>
        <v>0</v>
      </c>
      <c r="H66" s="0" t="n">
        <f aca="false">IF(AND($D66&lt;=90,$C66&gt;=INDEX(products!$D$2:$D$5,MATCH(H$1,products!$B$2:$B$5,0)),OR($B66&gt;=INDEX(products!$C$2:$C$5,MATCH(H$1,products!$B$2:$B$5,0)),AND($B66="",INDEX(products!$I$2:$I$5,MATCH(H$1,products!$B$2:$B$5,0))=1))),1,0)</f>
        <v>1</v>
      </c>
      <c r="I66" s="0" t="str">
        <f aca="false">IFERROR(INDEX($E$1:$H$1,MATCH(1,E66:H66,0)),"No offer")</f>
        <v>Micro</v>
      </c>
    </row>
    <row r="67" customFormat="false" ht="15" hidden="false" customHeight="false" outlineLevel="0" collapsed="false">
      <c r="A67" s="0" t="n">
        <v>5066</v>
      </c>
      <c r="B67" s="0" t="n">
        <v>659</v>
      </c>
      <c r="C67" s="0" t="n">
        <v>8000000</v>
      </c>
      <c r="D67" s="0" t="n">
        <v>4</v>
      </c>
      <c r="E67" s="0" t="n">
        <f aca="false">IF(AND($D67&lt;=90,$C67&gt;=INDEX(products!$D$2:$D$5,MATCH(E$1,products!$B$2:$B$5,0)),OR($B67&gt;=INDEX(products!$C$2:$C$5,MATCH(E$1,products!$B$2:$B$5,0)),AND($B67="",INDEX(products!$I$2:$I$5,MATCH(E$1,products!$B$2:$B$5,0))=1))),1,0)</f>
        <v>0</v>
      </c>
      <c r="F67" s="0" t="n">
        <f aca="false">IF(AND($D67&lt;=90,$C67&gt;=INDEX(products!$D$2:$D$5,MATCH(F$1,products!$B$2:$B$5,0)),OR($B67&gt;=INDEX(products!$C$2:$C$5,MATCH(F$1,products!$B$2:$B$5,0)),AND($B67="",INDEX(products!$I$2:$I$5,MATCH(F$1,products!$B$2:$B$5,0))=1))),1,0)</f>
        <v>0</v>
      </c>
      <c r="G67" s="0" t="n">
        <f aca="false">IF(AND($D67&lt;=90,$C67&gt;=INDEX(products!$D$2:$D$5,MATCH(G$1,products!$B$2:$B$5,0)),OR($B67&gt;=INDEX(products!$C$2:$C$5,MATCH(G$1,products!$B$2:$B$5,0)),AND($B67="",INDEX(products!$I$2:$I$5,MATCH(G$1,products!$B$2:$B$5,0))=1))),1,0)</f>
        <v>1</v>
      </c>
      <c r="H67" s="0" t="n">
        <f aca="false">IF(AND($D67&lt;=90,$C67&gt;=INDEX(products!$D$2:$D$5,MATCH(H$1,products!$B$2:$B$5,0)),OR($B67&gt;=INDEX(products!$C$2:$C$5,MATCH(H$1,products!$B$2:$B$5,0)),AND($B67="",INDEX(products!$I$2:$I$5,MATCH(H$1,products!$B$2:$B$5,0))=1))),1,0)</f>
        <v>1</v>
      </c>
      <c r="I67" s="0" t="str">
        <f aca="false">IFERROR(INDEX($E$1:$H$1,MATCH(1,E67:H67,0)),"No offer")</f>
        <v>Starter</v>
      </c>
    </row>
    <row r="68" customFormat="false" ht="15" hidden="false" customHeight="false" outlineLevel="0" collapsed="false">
      <c r="A68" s="0" t="n">
        <v>5067</v>
      </c>
      <c r="B68" s="0" t="n">
        <v>710</v>
      </c>
      <c r="C68" s="0" t="n">
        <v>19500000</v>
      </c>
      <c r="D68" s="0" t="n">
        <v>9</v>
      </c>
      <c r="E68" s="0" t="n">
        <f aca="false">IF(AND($D68&lt;=90,$C68&gt;=INDEX(products!$D$2:$D$5,MATCH(E$1,products!$B$2:$B$5,0)),OR($B68&gt;=INDEX(products!$C$2:$C$5,MATCH(E$1,products!$B$2:$B$5,0)),AND($B68="",INDEX(products!$I$2:$I$5,MATCH(E$1,products!$B$2:$B$5,0))=1))),1,0)</f>
        <v>1</v>
      </c>
      <c r="F68" s="0" t="n">
        <f aca="false">IF(AND($D68&lt;=90,$C68&gt;=INDEX(products!$D$2:$D$5,MATCH(F$1,products!$B$2:$B$5,0)),OR($B68&gt;=INDEX(products!$C$2:$C$5,MATCH(F$1,products!$B$2:$B$5,0)),AND($B68="",INDEX(products!$I$2:$I$5,MATCH(F$1,products!$B$2:$B$5,0))=1))),1,0)</f>
        <v>1</v>
      </c>
      <c r="G68" s="0" t="n">
        <f aca="false">IF(AND($D68&lt;=90,$C68&gt;=INDEX(products!$D$2:$D$5,MATCH(G$1,products!$B$2:$B$5,0)),OR($B68&gt;=INDEX(products!$C$2:$C$5,MATCH(G$1,products!$B$2:$B$5,0)),AND($B68="",INDEX(products!$I$2:$I$5,MATCH(G$1,products!$B$2:$B$5,0))=1))),1,0)</f>
        <v>1</v>
      </c>
      <c r="H68" s="0" t="n">
        <f aca="false">IF(AND($D68&lt;=90,$C68&gt;=INDEX(products!$D$2:$D$5,MATCH(H$1,products!$B$2:$B$5,0)),OR($B68&gt;=INDEX(products!$C$2:$C$5,MATCH(H$1,products!$B$2:$B$5,0)),AND($B68="",INDEX(products!$I$2:$I$5,MATCH(H$1,products!$B$2:$B$5,0))=1))),1,0)</f>
        <v>1</v>
      </c>
      <c r="I68" s="0" t="str">
        <f aca="false">IFERROR(INDEX($E$1:$H$1,MATCH(1,E68:H68,0)),"No offer")</f>
        <v>Prime</v>
      </c>
    </row>
    <row r="69" customFormat="false" ht="15" hidden="false" customHeight="false" outlineLevel="0" collapsed="false">
      <c r="A69" s="0" t="n">
        <v>5068</v>
      </c>
      <c r="B69" s="0" t="n">
        <v>770</v>
      </c>
      <c r="C69" s="0" t="n">
        <v>9000000</v>
      </c>
      <c r="D69" s="0" t="n">
        <v>7</v>
      </c>
      <c r="E69" s="0" t="n">
        <f aca="false">IF(AND($D69&lt;=90,$C69&gt;=INDEX(products!$D$2:$D$5,MATCH(E$1,products!$B$2:$B$5,0)),OR($B69&gt;=INDEX(products!$C$2:$C$5,MATCH(E$1,products!$B$2:$B$5,0)),AND($B69="",INDEX(products!$I$2:$I$5,MATCH(E$1,products!$B$2:$B$5,0))=1))),1,0)</f>
        <v>0</v>
      </c>
      <c r="F69" s="0" t="n">
        <f aca="false">IF(AND($D69&lt;=90,$C69&gt;=INDEX(products!$D$2:$D$5,MATCH(F$1,products!$B$2:$B$5,0)),OR($B69&gt;=INDEX(products!$C$2:$C$5,MATCH(F$1,products!$B$2:$B$5,0)),AND($B69="",INDEX(products!$I$2:$I$5,MATCH(F$1,products!$B$2:$B$5,0))=1))),1,0)</f>
        <v>0</v>
      </c>
      <c r="G69" s="0" t="n">
        <f aca="false">IF(AND($D69&lt;=90,$C69&gt;=INDEX(products!$D$2:$D$5,MATCH(G$1,products!$B$2:$B$5,0)),OR($B69&gt;=INDEX(products!$C$2:$C$5,MATCH(G$1,products!$B$2:$B$5,0)),AND($B69="",INDEX(products!$I$2:$I$5,MATCH(G$1,products!$B$2:$B$5,0))=1))),1,0)</f>
        <v>1</v>
      </c>
      <c r="H69" s="0" t="n">
        <f aca="false">IF(AND($D69&lt;=90,$C69&gt;=INDEX(products!$D$2:$D$5,MATCH(H$1,products!$B$2:$B$5,0)),OR($B69&gt;=INDEX(products!$C$2:$C$5,MATCH(H$1,products!$B$2:$B$5,0)),AND($B69="",INDEX(products!$I$2:$I$5,MATCH(H$1,products!$B$2:$B$5,0))=1))),1,0)</f>
        <v>1</v>
      </c>
      <c r="I69" s="0" t="str">
        <f aca="false">IFERROR(INDEX($E$1:$H$1,MATCH(1,E69:H69,0)),"No offer")</f>
        <v>Starter</v>
      </c>
    </row>
    <row r="70" customFormat="false" ht="15" hidden="false" customHeight="false" outlineLevel="0" collapsed="false">
      <c r="A70" s="0" t="n">
        <v>5069</v>
      </c>
      <c r="B70" s="0" t="n">
        <v>817</v>
      </c>
      <c r="C70" s="0" t="n">
        <v>23500000</v>
      </c>
      <c r="D70" s="0" t="n">
        <v>8</v>
      </c>
      <c r="E70" s="0" t="n">
        <f aca="false">IF(AND($D70&lt;=90,$C70&gt;=INDEX(products!$D$2:$D$5,MATCH(E$1,products!$B$2:$B$5,0)),OR($B70&gt;=INDEX(products!$C$2:$C$5,MATCH(E$1,products!$B$2:$B$5,0)),AND($B70="",INDEX(products!$I$2:$I$5,MATCH(E$1,products!$B$2:$B$5,0))=1))),1,0)</f>
        <v>1</v>
      </c>
      <c r="F70" s="0" t="n">
        <f aca="false">IF(AND($D70&lt;=90,$C70&gt;=INDEX(products!$D$2:$D$5,MATCH(F$1,products!$B$2:$B$5,0)),OR($B70&gt;=INDEX(products!$C$2:$C$5,MATCH(F$1,products!$B$2:$B$5,0)),AND($B70="",INDEX(products!$I$2:$I$5,MATCH(F$1,products!$B$2:$B$5,0))=1))),1,0)</f>
        <v>1</v>
      </c>
      <c r="G70" s="0" t="n">
        <f aca="false">IF(AND($D70&lt;=90,$C70&gt;=INDEX(products!$D$2:$D$5,MATCH(G$1,products!$B$2:$B$5,0)),OR($B70&gt;=INDEX(products!$C$2:$C$5,MATCH(G$1,products!$B$2:$B$5,0)),AND($B70="",INDEX(products!$I$2:$I$5,MATCH(G$1,products!$B$2:$B$5,0))=1))),1,0)</f>
        <v>1</v>
      </c>
      <c r="H70" s="0" t="n">
        <f aca="false">IF(AND($D70&lt;=90,$C70&gt;=INDEX(products!$D$2:$D$5,MATCH(H$1,products!$B$2:$B$5,0)),OR($B70&gt;=INDEX(products!$C$2:$C$5,MATCH(H$1,products!$B$2:$B$5,0)),AND($B70="",INDEX(products!$I$2:$I$5,MATCH(H$1,products!$B$2:$B$5,0))=1))),1,0)</f>
        <v>1</v>
      </c>
      <c r="I70" s="0" t="str">
        <f aca="false">IFERROR(INDEX($E$1:$H$1,MATCH(1,E70:H70,0)),"No offer")</f>
        <v>Prime</v>
      </c>
    </row>
    <row r="71" customFormat="false" ht="15" hidden="false" customHeight="false" outlineLevel="0" collapsed="false">
      <c r="A71" s="0" t="n">
        <v>5070</v>
      </c>
      <c r="B71" s="0" t="n">
        <v>424</v>
      </c>
      <c r="C71" s="0" t="n">
        <v>20000000</v>
      </c>
      <c r="D71" s="0" t="n">
        <v>244</v>
      </c>
      <c r="E71" s="0" t="n">
        <f aca="false">IF(AND($D71&lt;=90,$C71&gt;=INDEX(products!$D$2:$D$5,MATCH(E$1,products!$B$2:$B$5,0)),OR($B71&gt;=INDEX(products!$C$2:$C$5,MATCH(E$1,products!$B$2:$B$5,0)),AND($B71="",INDEX(products!$I$2:$I$5,MATCH(E$1,products!$B$2:$B$5,0))=1))),1,0)</f>
        <v>0</v>
      </c>
      <c r="F71" s="0" t="n">
        <f aca="false">IF(AND($D71&lt;=90,$C71&gt;=INDEX(products!$D$2:$D$5,MATCH(F$1,products!$B$2:$B$5,0)),OR($B71&gt;=INDEX(products!$C$2:$C$5,MATCH(F$1,products!$B$2:$B$5,0)),AND($B71="",INDEX(products!$I$2:$I$5,MATCH(F$1,products!$B$2:$B$5,0))=1))),1,0)</f>
        <v>0</v>
      </c>
      <c r="G71" s="0" t="n">
        <f aca="false">IF(AND($D71&lt;=90,$C71&gt;=INDEX(products!$D$2:$D$5,MATCH(G$1,products!$B$2:$B$5,0)),OR($B71&gt;=INDEX(products!$C$2:$C$5,MATCH(G$1,products!$B$2:$B$5,0)),AND($B71="",INDEX(products!$I$2:$I$5,MATCH(G$1,products!$B$2:$B$5,0))=1))),1,0)</f>
        <v>0</v>
      </c>
      <c r="H71" s="0" t="n">
        <f aca="false">IF(AND($D71&lt;=90,$C71&gt;=INDEX(products!$D$2:$D$5,MATCH(H$1,products!$B$2:$B$5,0)),OR($B71&gt;=INDEX(products!$C$2:$C$5,MATCH(H$1,products!$B$2:$B$5,0)),AND($B71="",INDEX(products!$I$2:$I$5,MATCH(H$1,products!$B$2:$B$5,0))=1))),1,0)</f>
        <v>0</v>
      </c>
      <c r="I71" s="0" t="str">
        <f aca="false">IFERROR(INDEX($E$1:$H$1,MATCH(1,E71:H71,0)),"No offer")</f>
        <v>No offer</v>
      </c>
    </row>
    <row r="72" customFormat="false" ht="15" hidden="false" customHeight="false" outlineLevel="0" collapsed="false">
      <c r="A72" s="0" t="n">
        <v>5071</v>
      </c>
      <c r="B72" s="0" t="n">
        <v>719</v>
      </c>
      <c r="C72" s="0" t="n">
        <v>14000000</v>
      </c>
      <c r="D72" s="0" t="n">
        <v>7</v>
      </c>
      <c r="E72" s="0" t="n">
        <f aca="false">IF(AND($D72&lt;=90,$C72&gt;=INDEX(products!$D$2:$D$5,MATCH(E$1,products!$B$2:$B$5,0)),OR($B72&gt;=INDEX(products!$C$2:$C$5,MATCH(E$1,products!$B$2:$B$5,0)),AND($B72="",INDEX(products!$I$2:$I$5,MATCH(E$1,products!$B$2:$B$5,0))=1))),1,0)</f>
        <v>0</v>
      </c>
      <c r="F72" s="0" t="n">
        <f aca="false">IF(AND($D72&lt;=90,$C72&gt;=INDEX(products!$D$2:$D$5,MATCH(F$1,products!$B$2:$B$5,0)),OR($B72&gt;=INDEX(products!$C$2:$C$5,MATCH(F$1,products!$B$2:$B$5,0)),AND($B72="",INDEX(products!$I$2:$I$5,MATCH(F$1,products!$B$2:$B$5,0))=1))),1,0)</f>
        <v>1</v>
      </c>
      <c r="G72" s="0" t="n">
        <f aca="false">IF(AND($D72&lt;=90,$C72&gt;=INDEX(products!$D$2:$D$5,MATCH(G$1,products!$B$2:$B$5,0)),OR($B72&gt;=INDEX(products!$C$2:$C$5,MATCH(G$1,products!$B$2:$B$5,0)),AND($B72="",INDEX(products!$I$2:$I$5,MATCH(G$1,products!$B$2:$B$5,0))=1))),1,0)</f>
        <v>1</v>
      </c>
      <c r="H72" s="0" t="n">
        <f aca="false">IF(AND($D72&lt;=90,$C72&gt;=INDEX(products!$D$2:$D$5,MATCH(H$1,products!$B$2:$B$5,0)),OR($B72&gt;=INDEX(products!$C$2:$C$5,MATCH(H$1,products!$B$2:$B$5,0)),AND($B72="",INDEX(products!$I$2:$I$5,MATCH(H$1,products!$B$2:$B$5,0))=1))),1,0)</f>
        <v>1</v>
      </c>
      <c r="I72" s="0" t="str">
        <f aca="false">IFERROR(INDEX($E$1:$H$1,MATCH(1,E72:H72,0)),"No offer")</f>
        <v>Standard</v>
      </c>
    </row>
    <row r="73" customFormat="false" ht="15" hidden="false" customHeight="false" outlineLevel="0" collapsed="false">
      <c r="A73" s="0" t="n">
        <v>5072</v>
      </c>
      <c r="B73" s="0" t="n">
        <v>653</v>
      </c>
      <c r="C73" s="0" t="n">
        <v>18000000</v>
      </c>
      <c r="D73" s="0" t="n">
        <v>8</v>
      </c>
      <c r="E73" s="0" t="n">
        <f aca="false">IF(AND($D73&lt;=90,$C73&gt;=INDEX(products!$D$2:$D$5,MATCH(E$1,products!$B$2:$B$5,0)),OR($B73&gt;=INDEX(products!$C$2:$C$5,MATCH(E$1,products!$B$2:$B$5,0)),AND($B73="",INDEX(products!$I$2:$I$5,MATCH(E$1,products!$B$2:$B$5,0))=1))),1,0)</f>
        <v>0</v>
      </c>
      <c r="F73" s="0" t="n">
        <f aca="false">IF(AND($D73&lt;=90,$C73&gt;=INDEX(products!$D$2:$D$5,MATCH(F$1,products!$B$2:$B$5,0)),OR($B73&gt;=INDEX(products!$C$2:$C$5,MATCH(F$1,products!$B$2:$B$5,0)),AND($B73="",INDEX(products!$I$2:$I$5,MATCH(F$1,products!$B$2:$B$5,0))=1))),1,0)</f>
        <v>1</v>
      </c>
      <c r="G73" s="0" t="n">
        <f aca="false">IF(AND($D73&lt;=90,$C73&gt;=INDEX(products!$D$2:$D$5,MATCH(G$1,products!$B$2:$B$5,0)),OR($B73&gt;=INDEX(products!$C$2:$C$5,MATCH(G$1,products!$B$2:$B$5,0)),AND($B73="",INDEX(products!$I$2:$I$5,MATCH(G$1,products!$B$2:$B$5,0))=1))),1,0)</f>
        <v>1</v>
      </c>
      <c r="H73" s="0" t="n">
        <f aca="false">IF(AND($D73&lt;=90,$C73&gt;=INDEX(products!$D$2:$D$5,MATCH(H$1,products!$B$2:$B$5,0)),OR($B73&gt;=INDEX(products!$C$2:$C$5,MATCH(H$1,products!$B$2:$B$5,0)),AND($B73="",INDEX(products!$I$2:$I$5,MATCH(H$1,products!$B$2:$B$5,0))=1))),1,0)</f>
        <v>1</v>
      </c>
      <c r="I73" s="0" t="str">
        <f aca="false">IFERROR(INDEX($E$1:$H$1,MATCH(1,E73:H73,0)),"No offer")</f>
        <v>Standard</v>
      </c>
    </row>
    <row r="74" customFormat="false" ht="15" hidden="false" customHeight="false" outlineLevel="0" collapsed="false">
      <c r="A74" s="0" t="n">
        <v>5073</v>
      </c>
      <c r="C74" s="0" t="n">
        <v>12000000</v>
      </c>
      <c r="D74" s="0" t="n">
        <v>0</v>
      </c>
      <c r="E74" s="0" t="n">
        <f aca="false">IF(AND($D74&lt;=90,$C74&gt;=INDEX(products!$D$2:$D$5,MATCH(E$1,products!$B$2:$B$5,0)),OR($B74&gt;=INDEX(products!$C$2:$C$5,MATCH(E$1,products!$B$2:$B$5,0)),AND($B74="",INDEX(products!$I$2:$I$5,MATCH(E$1,products!$B$2:$B$5,0))=1))),1,0)</f>
        <v>0</v>
      </c>
      <c r="F74" s="0" t="n">
        <f aca="false">IF(AND($D74&lt;=90,$C74&gt;=INDEX(products!$D$2:$D$5,MATCH(F$1,products!$B$2:$B$5,0)),OR($B74&gt;=INDEX(products!$C$2:$C$5,MATCH(F$1,products!$B$2:$B$5,0)),AND($B74="",INDEX(products!$I$2:$I$5,MATCH(F$1,products!$B$2:$B$5,0))=1))),1,0)</f>
        <v>0</v>
      </c>
      <c r="G74" s="0" t="n">
        <f aca="false">IF(AND($D74&lt;=90,$C74&gt;=INDEX(products!$D$2:$D$5,MATCH(G$1,products!$B$2:$B$5,0)),OR($B74&gt;=INDEX(products!$C$2:$C$5,MATCH(G$1,products!$B$2:$B$5,0)),AND($B74="",INDEX(products!$I$2:$I$5,MATCH(G$1,products!$B$2:$B$5,0))=1))),1,0)</f>
        <v>0</v>
      </c>
      <c r="H74" s="0" t="n">
        <f aca="false">IF(AND($D74&lt;=90,$C74&gt;=INDEX(products!$D$2:$D$5,MATCH(H$1,products!$B$2:$B$5,0)),OR($B74&gt;=INDEX(products!$C$2:$C$5,MATCH(H$1,products!$B$2:$B$5,0)),AND($B74="",INDEX(products!$I$2:$I$5,MATCH(H$1,products!$B$2:$B$5,0))=1))),1,0)</f>
        <v>1</v>
      </c>
      <c r="I74" s="0" t="str">
        <f aca="false">IFERROR(INDEX($E$1:$H$1,MATCH(1,E74:H74,0)),"No offer")</f>
        <v>Micro</v>
      </c>
    </row>
    <row r="75" customFormat="false" ht="15" hidden="false" customHeight="false" outlineLevel="0" collapsed="false">
      <c r="A75" s="0" t="n">
        <v>5074</v>
      </c>
      <c r="B75" s="0" t="n">
        <v>711</v>
      </c>
      <c r="C75" s="0" t="n">
        <v>17000000</v>
      </c>
      <c r="D75" s="0" t="n">
        <v>9</v>
      </c>
      <c r="E75" s="0" t="n">
        <f aca="false">IF(AND($D75&lt;=90,$C75&gt;=INDEX(products!$D$2:$D$5,MATCH(E$1,products!$B$2:$B$5,0)),OR($B75&gt;=INDEX(products!$C$2:$C$5,MATCH(E$1,products!$B$2:$B$5,0)),AND($B75="",INDEX(products!$I$2:$I$5,MATCH(E$1,products!$B$2:$B$5,0))=1))),1,0)</f>
        <v>1</v>
      </c>
      <c r="F75" s="0" t="n">
        <f aca="false">IF(AND($D75&lt;=90,$C75&gt;=INDEX(products!$D$2:$D$5,MATCH(F$1,products!$B$2:$B$5,0)),OR($B75&gt;=INDEX(products!$C$2:$C$5,MATCH(F$1,products!$B$2:$B$5,0)),AND($B75="",INDEX(products!$I$2:$I$5,MATCH(F$1,products!$B$2:$B$5,0))=1))),1,0)</f>
        <v>1</v>
      </c>
      <c r="G75" s="0" t="n">
        <f aca="false">IF(AND($D75&lt;=90,$C75&gt;=INDEX(products!$D$2:$D$5,MATCH(G$1,products!$B$2:$B$5,0)),OR($B75&gt;=INDEX(products!$C$2:$C$5,MATCH(G$1,products!$B$2:$B$5,0)),AND($B75="",INDEX(products!$I$2:$I$5,MATCH(G$1,products!$B$2:$B$5,0))=1))),1,0)</f>
        <v>1</v>
      </c>
      <c r="H75" s="0" t="n">
        <f aca="false">IF(AND($D75&lt;=90,$C75&gt;=INDEX(products!$D$2:$D$5,MATCH(H$1,products!$B$2:$B$5,0)),OR($B75&gt;=INDEX(products!$C$2:$C$5,MATCH(H$1,products!$B$2:$B$5,0)),AND($B75="",INDEX(products!$I$2:$I$5,MATCH(H$1,products!$B$2:$B$5,0))=1))),1,0)</f>
        <v>1</v>
      </c>
      <c r="I75" s="0" t="str">
        <f aca="false">IFERROR(INDEX($E$1:$H$1,MATCH(1,E75:H75,0)),"No offer")</f>
        <v>Prime</v>
      </c>
    </row>
    <row r="76" customFormat="false" ht="15" hidden="false" customHeight="false" outlineLevel="0" collapsed="false">
      <c r="A76" s="0" t="n">
        <v>5075</v>
      </c>
      <c r="B76" s="0" t="n">
        <v>704</v>
      </c>
      <c r="C76" s="0" t="n">
        <v>15500000</v>
      </c>
      <c r="D76" s="0" t="n">
        <v>8</v>
      </c>
      <c r="E76" s="0" t="n">
        <f aca="false">IF(AND($D76&lt;=90,$C76&gt;=INDEX(products!$D$2:$D$5,MATCH(E$1,products!$B$2:$B$5,0)),OR($B76&gt;=INDEX(products!$C$2:$C$5,MATCH(E$1,products!$B$2:$B$5,0)),AND($B76="",INDEX(products!$I$2:$I$5,MATCH(E$1,products!$B$2:$B$5,0))=1))),1,0)</f>
        <v>1</v>
      </c>
      <c r="F76" s="0" t="n">
        <f aca="false">IF(AND($D76&lt;=90,$C76&gt;=INDEX(products!$D$2:$D$5,MATCH(F$1,products!$B$2:$B$5,0)),OR($B76&gt;=INDEX(products!$C$2:$C$5,MATCH(F$1,products!$B$2:$B$5,0)),AND($B76="",INDEX(products!$I$2:$I$5,MATCH(F$1,products!$B$2:$B$5,0))=1))),1,0)</f>
        <v>1</v>
      </c>
      <c r="G76" s="0" t="n">
        <f aca="false">IF(AND($D76&lt;=90,$C76&gt;=INDEX(products!$D$2:$D$5,MATCH(G$1,products!$B$2:$B$5,0)),OR($B76&gt;=INDEX(products!$C$2:$C$5,MATCH(G$1,products!$B$2:$B$5,0)),AND($B76="",INDEX(products!$I$2:$I$5,MATCH(G$1,products!$B$2:$B$5,0))=1))),1,0)</f>
        <v>1</v>
      </c>
      <c r="H76" s="0" t="n">
        <f aca="false">IF(AND($D76&lt;=90,$C76&gt;=INDEX(products!$D$2:$D$5,MATCH(H$1,products!$B$2:$B$5,0)),OR($B76&gt;=INDEX(products!$C$2:$C$5,MATCH(H$1,products!$B$2:$B$5,0)),AND($B76="",INDEX(products!$I$2:$I$5,MATCH(H$1,products!$B$2:$B$5,0))=1))),1,0)</f>
        <v>1</v>
      </c>
      <c r="I76" s="0" t="str">
        <f aca="false">IFERROR(INDEX($E$1:$H$1,MATCH(1,E76:H76,0)),"No offer")</f>
        <v>Prime</v>
      </c>
    </row>
    <row r="77" customFormat="false" ht="15" hidden="false" customHeight="false" outlineLevel="0" collapsed="false">
      <c r="A77" s="0" t="n">
        <v>5076</v>
      </c>
      <c r="B77" s="0" t="n">
        <v>775</v>
      </c>
      <c r="C77" s="0" t="n">
        <v>12500000</v>
      </c>
      <c r="D77" s="0" t="n">
        <v>8</v>
      </c>
      <c r="E77" s="0" t="n">
        <f aca="false">IF(AND($D77&lt;=90,$C77&gt;=INDEX(products!$D$2:$D$5,MATCH(E$1,products!$B$2:$B$5,0)),OR($B77&gt;=INDEX(products!$C$2:$C$5,MATCH(E$1,products!$B$2:$B$5,0)),AND($B77="",INDEX(products!$I$2:$I$5,MATCH(E$1,products!$B$2:$B$5,0))=1))),1,0)</f>
        <v>0</v>
      </c>
      <c r="F77" s="0" t="n">
        <f aca="false">IF(AND($D77&lt;=90,$C77&gt;=INDEX(products!$D$2:$D$5,MATCH(F$1,products!$B$2:$B$5,0)),OR($B77&gt;=INDEX(products!$C$2:$C$5,MATCH(F$1,products!$B$2:$B$5,0)),AND($B77="",INDEX(products!$I$2:$I$5,MATCH(F$1,products!$B$2:$B$5,0))=1))),1,0)</f>
        <v>1</v>
      </c>
      <c r="G77" s="0" t="n">
        <f aca="false">IF(AND($D77&lt;=90,$C77&gt;=INDEX(products!$D$2:$D$5,MATCH(G$1,products!$B$2:$B$5,0)),OR($B77&gt;=INDEX(products!$C$2:$C$5,MATCH(G$1,products!$B$2:$B$5,0)),AND($B77="",INDEX(products!$I$2:$I$5,MATCH(G$1,products!$B$2:$B$5,0))=1))),1,0)</f>
        <v>1</v>
      </c>
      <c r="H77" s="0" t="n">
        <f aca="false">IF(AND($D77&lt;=90,$C77&gt;=INDEX(products!$D$2:$D$5,MATCH(H$1,products!$B$2:$B$5,0)),OR($B77&gt;=INDEX(products!$C$2:$C$5,MATCH(H$1,products!$B$2:$B$5,0)),AND($B77="",INDEX(products!$I$2:$I$5,MATCH(H$1,products!$B$2:$B$5,0))=1))),1,0)</f>
        <v>1</v>
      </c>
      <c r="I77" s="0" t="str">
        <f aca="false">IFERROR(INDEX($E$1:$H$1,MATCH(1,E77:H77,0)),"No offer")</f>
        <v>Standard</v>
      </c>
    </row>
    <row r="78" customFormat="false" ht="15" hidden="false" customHeight="false" outlineLevel="0" collapsed="false">
      <c r="A78" s="0" t="n">
        <v>5077</v>
      </c>
      <c r="B78" s="0" t="n">
        <v>400</v>
      </c>
      <c r="C78" s="0" t="n">
        <v>5000000</v>
      </c>
      <c r="D78" s="0" t="n">
        <v>10</v>
      </c>
      <c r="E78" s="0" t="n">
        <f aca="false">IF(AND($D78&lt;=90,$C78&gt;=INDEX(products!$D$2:$D$5,MATCH(E$1,products!$B$2:$B$5,0)),OR($B78&gt;=INDEX(products!$C$2:$C$5,MATCH(E$1,products!$B$2:$B$5,0)),AND($B78="",INDEX(products!$I$2:$I$5,MATCH(E$1,products!$B$2:$B$5,0))=1))),1,0)</f>
        <v>0</v>
      </c>
      <c r="F78" s="0" t="n">
        <f aca="false">IF(AND($D78&lt;=90,$C78&gt;=INDEX(products!$D$2:$D$5,MATCH(F$1,products!$B$2:$B$5,0)),OR($B78&gt;=INDEX(products!$C$2:$C$5,MATCH(F$1,products!$B$2:$B$5,0)),AND($B78="",INDEX(products!$I$2:$I$5,MATCH(F$1,products!$B$2:$B$5,0))=1))),1,0)</f>
        <v>0</v>
      </c>
      <c r="G78" s="0" t="n">
        <f aca="false">IF(AND($D78&lt;=90,$C78&gt;=INDEX(products!$D$2:$D$5,MATCH(G$1,products!$B$2:$B$5,0)),OR($B78&gt;=INDEX(products!$C$2:$C$5,MATCH(G$1,products!$B$2:$B$5,0)),AND($B78="",INDEX(products!$I$2:$I$5,MATCH(G$1,products!$B$2:$B$5,0))=1))),1,0)</f>
        <v>0</v>
      </c>
      <c r="H78" s="0" t="n">
        <f aca="false">IF(AND($D78&lt;=90,$C78&gt;=INDEX(products!$D$2:$D$5,MATCH(H$1,products!$B$2:$B$5,0)),OR($B78&gt;=INDEX(products!$C$2:$C$5,MATCH(H$1,products!$B$2:$B$5,0)),AND($B78="",INDEX(products!$I$2:$I$5,MATCH(H$1,products!$B$2:$B$5,0))=1))),1,0)</f>
        <v>1</v>
      </c>
      <c r="I78" s="0" t="str">
        <f aca="false">IFERROR(INDEX($E$1:$H$1,MATCH(1,E78:H78,0)),"No offer")</f>
        <v>Micro</v>
      </c>
    </row>
    <row r="79" customFormat="false" ht="15" hidden="false" customHeight="false" outlineLevel="0" collapsed="false">
      <c r="A79" s="0" t="n">
        <v>5078</v>
      </c>
      <c r="B79" s="0" t="n">
        <v>608</v>
      </c>
      <c r="C79" s="0" t="n">
        <v>16500000</v>
      </c>
      <c r="D79" s="0" t="n">
        <v>32</v>
      </c>
      <c r="E79" s="0" t="n">
        <f aca="false">IF(AND($D79&lt;=90,$C79&gt;=INDEX(products!$D$2:$D$5,MATCH(E$1,products!$B$2:$B$5,0)),OR($B79&gt;=INDEX(products!$C$2:$C$5,MATCH(E$1,products!$B$2:$B$5,0)),AND($B79="",INDEX(products!$I$2:$I$5,MATCH(E$1,products!$B$2:$B$5,0))=1))),1,0)</f>
        <v>0</v>
      </c>
      <c r="F79" s="0" t="n">
        <f aca="false">IF(AND($D79&lt;=90,$C79&gt;=INDEX(products!$D$2:$D$5,MATCH(F$1,products!$B$2:$B$5,0)),OR($B79&gt;=INDEX(products!$C$2:$C$5,MATCH(F$1,products!$B$2:$B$5,0)),AND($B79="",INDEX(products!$I$2:$I$5,MATCH(F$1,products!$B$2:$B$5,0))=1))),1,0)</f>
        <v>1</v>
      </c>
      <c r="G79" s="0" t="n">
        <f aca="false">IF(AND($D79&lt;=90,$C79&gt;=INDEX(products!$D$2:$D$5,MATCH(G$1,products!$B$2:$B$5,0)),OR($B79&gt;=INDEX(products!$C$2:$C$5,MATCH(G$1,products!$B$2:$B$5,0)),AND($B79="",INDEX(products!$I$2:$I$5,MATCH(G$1,products!$B$2:$B$5,0))=1))),1,0)</f>
        <v>1</v>
      </c>
      <c r="H79" s="0" t="n">
        <f aca="false">IF(AND($D79&lt;=90,$C79&gt;=INDEX(products!$D$2:$D$5,MATCH(H$1,products!$B$2:$B$5,0)),OR($B79&gt;=INDEX(products!$C$2:$C$5,MATCH(H$1,products!$B$2:$B$5,0)),AND($B79="",INDEX(products!$I$2:$I$5,MATCH(H$1,products!$B$2:$B$5,0))=1))),1,0)</f>
        <v>1</v>
      </c>
      <c r="I79" s="0" t="str">
        <f aca="false">IFERROR(INDEX($E$1:$H$1,MATCH(1,E79:H79,0)),"No offer")</f>
        <v>Standard</v>
      </c>
    </row>
    <row r="80" customFormat="false" ht="15" hidden="false" customHeight="false" outlineLevel="0" collapsed="false">
      <c r="A80" s="0" t="n">
        <v>5079</v>
      </c>
      <c r="B80" s="0" t="n">
        <v>713</v>
      </c>
      <c r="C80" s="0" t="n">
        <v>18500000</v>
      </c>
      <c r="D80" s="0" t="n">
        <v>7</v>
      </c>
      <c r="E80" s="0" t="n">
        <f aca="false">IF(AND($D80&lt;=90,$C80&gt;=INDEX(products!$D$2:$D$5,MATCH(E$1,products!$B$2:$B$5,0)),OR($B80&gt;=INDEX(products!$C$2:$C$5,MATCH(E$1,products!$B$2:$B$5,0)),AND($B80="",INDEX(products!$I$2:$I$5,MATCH(E$1,products!$B$2:$B$5,0))=1))),1,0)</f>
        <v>1</v>
      </c>
      <c r="F80" s="0" t="n">
        <f aca="false">IF(AND($D80&lt;=90,$C80&gt;=INDEX(products!$D$2:$D$5,MATCH(F$1,products!$B$2:$B$5,0)),OR($B80&gt;=INDEX(products!$C$2:$C$5,MATCH(F$1,products!$B$2:$B$5,0)),AND($B80="",INDEX(products!$I$2:$I$5,MATCH(F$1,products!$B$2:$B$5,0))=1))),1,0)</f>
        <v>1</v>
      </c>
      <c r="G80" s="0" t="n">
        <f aca="false">IF(AND($D80&lt;=90,$C80&gt;=INDEX(products!$D$2:$D$5,MATCH(G$1,products!$B$2:$B$5,0)),OR($B80&gt;=INDEX(products!$C$2:$C$5,MATCH(G$1,products!$B$2:$B$5,0)),AND($B80="",INDEX(products!$I$2:$I$5,MATCH(G$1,products!$B$2:$B$5,0))=1))),1,0)</f>
        <v>1</v>
      </c>
      <c r="H80" s="0" t="n">
        <f aca="false">IF(AND($D80&lt;=90,$C80&gt;=INDEX(products!$D$2:$D$5,MATCH(H$1,products!$B$2:$B$5,0)),OR($B80&gt;=INDEX(products!$C$2:$C$5,MATCH(H$1,products!$B$2:$B$5,0)),AND($B80="",INDEX(products!$I$2:$I$5,MATCH(H$1,products!$B$2:$B$5,0))=1))),1,0)</f>
        <v>1</v>
      </c>
      <c r="I80" s="0" t="str">
        <f aca="false">IFERROR(INDEX($E$1:$H$1,MATCH(1,E80:H80,0)),"No offer")</f>
        <v>Prime</v>
      </c>
    </row>
    <row r="81" customFormat="false" ht="15" hidden="false" customHeight="false" outlineLevel="0" collapsed="false">
      <c r="A81" s="0" t="n">
        <v>5080</v>
      </c>
      <c r="C81" s="0" t="n">
        <v>20000000</v>
      </c>
      <c r="D81" s="0" t="n">
        <v>0</v>
      </c>
      <c r="E81" s="0" t="n">
        <f aca="false">IF(AND($D81&lt;=90,$C81&gt;=INDEX(products!$D$2:$D$5,MATCH(E$1,products!$B$2:$B$5,0)),OR($B81&gt;=INDEX(products!$C$2:$C$5,MATCH(E$1,products!$B$2:$B$5,0)),AND($B81="",INDEX(products!$I$2:$I$5,MATCH(E$1,products!$B$2:$B$5,0))=1))),1,0)</f>
        <v>0</v>
      </c>
      <c r="F81" s="0" t="n">
        <f aca="false">IF(AND($D81&lt;=90,$C81&gt;=INDEX(products!$D$2:$D$5,MATCH(F$1,products!$B$2:$B$5,0)),OR($B81&gt;=INDEX(products!$C$2:$C$5,MATCH(F$1,products!$B$2:$B$5,0)),AND($B81="",INDEX(products!$I$2:$I$5,MATCH(F$1,products!$B$2:$B$5,0))=1))),1,0)</f>
        <v>0</v>
      </c>
      <c r="G81" s="0" t="n">
        <f aca="false">IF(AND($D81&lt;=90,$C81&gt;=INDEX(products!$D$2:$D$5,MATCH(G$1,products!$B$2:$B$5,0)),OR($B81&gt;=INDEX(products!$C$2:$C$5,MATCH(G$1,products!$B$2:$B$5,0)),AND($B81="",INDEX(products!$I$2:$I$5,MATCH(G$1,products!$B$2:$B$5,0))=1))),1,0)</f>
        <v>0</v>
      </c>
      <c r="H81" s="0" t="n">
        <f aca="false">IF(AND($D81&lt;=90,$C81&gt;=INDEX(products!$D$2:$D$5,MATCH(H$1,products!$B$2:$B$5,0)),OR($B81&gt;=INDEX(products!$C$2:$C$5,MATCH(H$1,products!$B$2:$B$5,0)),AND($B81="",INDEX(products!$I$2:$I$5,MATCH(H$1,products!$B$2:$B$5,0))=1))),1,0)</f>
        <v>1</v>
      </c>
      <c r="I81" s="0" t="str">
        <f aca="false">IFERROR(INDEX($E$1:$H$1,MATCH(1,E81:H81,0)),"No offer")</f>
        <v>Micro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7"/>
  </cols>
  <sheetData>
    <row r="1" customFormat="false" ht="15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22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/>
      <c r="M1" s="2" t="s">
        <v>22</v>
      </c>
      <c r="N1" s="2" t="s">
        <v>50</v>
      </c>
      <c r="O1" s="2" t="s">
        <v>60</v>
      </c>
      <c r="P1" s="2" t="s">
        <v>61</v>
      </c>
      <c r="Q1" s="2" t="s">
        <v>62</v>
      </c>
    </row>
    <row r="2" customFormat="false" ht="15" hidden="false" customHeight="false" outlineLevel="0" collapsed="false">
      <c r="A2" s="0" t="n">
        <v>5001</v>
      </c>
      <c r="B2" s="0" t="n">
        <v>17500000</v>
      </c>
      <c r="C2" s="0" t="n">
        <v>0</v>
      </c>
      <c r="D2" s="0" t="n">
        <v>131000000</v>
      </c>
      <c r="E2" s="0" t="n">
        <v>12</v>
      </c>
      <c r="F2" s="0" t="n">
        <v>0</v>
      </c>
      <c r="G2" s="0" t="n">
        <f aca="false">IF(F2=0,0,MIN(E2,INDEX(products!$F$2:$F$5,F2)))</f>
        <v>0</v>
      </c>
      <c r="H2" s="0" t="n">
        <f aca="false">IF(F2=0,0,(INDEX(products!$H$2:$H$5,F2)*B2-C2)*G2/(1+INDEX(products!$G$2:$G$5,F2)*G2/12))</f>
        <v>0</v>
      </c>
      <c r="I2" s="0" t="n">
        <f aca="false">IF(F2=0,0,ROUNDDOWN(MIN(D2,INDEX(products!$E$2:$E$5,F2),MAX(H2,0)),-6))</f>
        <v>0</v>
      </c>
      <c r="J2" s="0" t="n">
        <f aca="false">IF(I2&lt;5000000,0,I2)</f>
        <v>0</v>
      </c>
      <c r="K2" s="0" t="n">
        <f aca="false">IF(J2=0,0,ROUND(J2*INDEX(products!$G$2:$G$5,F2)*G2/12,0))</f>
        <v>0</v>
      </c>
      <c r="M2" s="0" t="n">
        <v>1</v>
      </c>
      <c r="N2" s="0" t="str">
        <f aca="false">INDEX(products!$B$2:$B$5,M2)</f>
        <v>Prime</v>
      </c>
      <c r="O2" s="0" t="n">
        <f aca="false">COUNTIFS($F$2:$F$81,M2,$J$2:$J$81,"&gt;0")</f>
        <v>10</v>
      </c>
      <c r="P2" s="0" t="n">
        <f aca="false">SUMIFS($J$2:$J$81,$F$2:$F$81,M2)</f>
        <v>988000000</v>
      </c>
      <c r="Q2" s="0" t="n">
        <f aca="false">SUMIFS($K$2:$K$81,$F$2:$F$81,M2)</f>
        <v>213350000</v>
      </c>
    </row>
    <row r="3" customFormat="false" ht="15" hidden="false" customHeight="false" outlineLevel="0" collapsed="false">
      <c r="A3" s="0" t="n">
        <v>5002</v>
      </c>
      <c r="B3" s="0" t="n">
        <v>11000000</v>
      </c>
      <c r="C3" s="0" t="n">
        <v>4200000</v>
      </c>
      <c r="D3" s="0" t="n">
        <v>29000000</v>
      </c>
      <c r="E3" s="0" t="n">
        <v>24</v>
      </c>
      <c r="F3" s="0" t="n">
        <v>2</v>
      </c>
      <c r="G3" s="0" t="n">
        <f aca="false">IF(F3=0,0,MIN(E3,INDEX(products!$F$2:$F$5,F3)))</f>
        <v>24</v>
      </c>
      <c r="H3" s="0" t="n">
        <f aca="false">IF(F3=0,0,(INDEX(products!$H$2:$H$5,F3)*B3-C3)*G3/(1+INDEX(products!$G$2:$G$5,F3)*G3/12))</f>
        <v>13636363.6363636</v>
      </c>
      <c r="I3" s="0" t="n">
        <f aca="false">IF(F3=0,0,ROUNDDOWN(MIN(D3,INDEX(products!$E$2:$E$5,F3),MAX(H3,0)),-6))</f>
        <v>13000000</v>
      </c>
      <c r="J3" s="0" t="n">
        <f aca="false">IF(I3&lt;5000000,0,I3)</f>
        <v>13000000</v>
      </c>
      <c r="K3" s="0" t="n">
        <f aca="false">IF(J3=0,0,ROUND(J3*INDEX(products!$G$2:$G$5,F3)*G3/12,0))</f>
        <v>4160000</v>
      </c>
      <c r="M3" s="0" t="n">
        <v>2</v>
      </c>
      <c r="N3" s="0" t="str">
        <f aca="false">INDEX(products!$B$2:$B$5,M3)</f>
        <v>Standard</v>
      </c>
      <c r="O3" s="0" t="n">
        <f aca="false">COUNTIFS($F$2:$F$81,M3,$J$2:$J$81,"&gt;0")</f>
        <v>16</v>
      </c>
      <c r="P3" s="0" t="n">
        <f aca="false">SUMIFS($J$2:$J$81,$F$2:$F$81,M3)</f>
        <v>720000000</v>
      </c>
      <c r="Q3" s="0" t="n">
        <f aca="false">SUMIFS($K$2:$K$81,$F$2:$F$81,M3)</f>
        <v>227120000</v>
      </c>
    </row>
    <row r="4" customFormat="false" ht="15" hidden="false" customHeight="false" outlineLevel="0" collapsed="false">
      <c r="A4" s="0" t="n">
        <v>5003</v>
      </c>
      <c r="B4" s="0" t="n">
        <v>7000000</v>
      </c>
      <c r="C4" s="0" t="n">
        <v>0</v>
      </c>
      <c r="D4" s="0" t="n">
        <v>51000000</v>
      </c>
      <c r="E4" s="0" t="n">
        <v>12</v>
      </c>
      <c r="F4" s="0" t="n">
        <v>4</v>
      </c>
      <c r="G4" s="0" t="n">
        <f aca="false">IF(F4=0,0,MIN(E4,INDEX(products!$F$2:$F$5,F4)))</f>
        <v>12</v>
      </c>
      <c r="H4" s="0" t="n">
        <f aca="false">IF(F4=0,0,(INDEX(products!$H$2:$H$5,F4)*B4-C4)*G4/(1+INDEX(products!$G$2:$G$5,F4)*G4/12))</f>
        <v>22615384.6153846</v>
      </c>
      <c r="I4" s="0" t="n">
        <f aca="false">IF(F4=0,0,ROUNDDOWN(MIN(D4,INDEX(products!$E$2:$E$5,F4),MAX(H4,0)),-6))</f>
        <v>15000000</v>
      </c>
      <c r="J4" s="0" t="n">
        <f aca="false">IF(I4&lt;5000000,0,I4)</f>
        <v>15000000</v>
      </c>
      <c r="K4" s="0" t="n">
        <f aca="false">IF(J4=0,0,ROUND(J4*INDEX(products!$G$2:$G$5,F4)*G4/12,0))</f>
        <v>4500000</v>
      </c>
      <c r="M4" s="0" t="n">
        <v>3</v>
      </c>
      <c r="N4" s="0" t="str">
        <f aca="false">INDEX(products!$B$2:$B$5,M4)</f>
        <v>Starter</v>
      </c>
      <c r="O4" s="0" t="n">
        <f aca="false">COUNTIFS($F$2:$F$81,M4,$J$2:$J$81,"&gt;0")</f>
        <v>19</v>
      </c>
      <c r="P4" s="0" t="n">
        <f aca="false">SUMIFS($J$2:$J$81,$F$2:$F$81,M4)</f>
        <v>529000000</v>
      </c>
      <c r="Q4" s="0" t="n">
        <f aca="false">SUMIFS($K$2:$K$81,$F$2:$F$81,M4)</f>
        <v>209640000</v>
      </c>
    </row>
    <row r="5" customFormat="false" ht="15" hidden="false" customHeight="false" outlineLevel="0" collapsed="false">
      <c r="A5" s="0" t="n">
        <v>5004</v>
      </c>
      <c r="B5" s="0" t="n">
        <v>20000000</v>
      </c>
      <c r="C5" s="0" t="n">
        <v>0</v>
      </c>
      <c r="D5" s="0" t="n">
        <v>88000000</v>
      </c>
      <c r="E5" s="0" t="n">
        <v>24</v>
      </c>
      <c r="F5" s="0" t="n">
        <v>0</v>
      </c>
      <c r="G5" s="0" t="n">
        <f aca="false">IF(F5=0,0,MIN(E5,INDEX(products!$F$2:$F$5,F5)))</f>
        <v>0</v>
      </c>
      <c r="H5" s="0" t="n">
        <f aca="false">IF(F5=0,0,(INDEX(products!$H$2:$H$5,F5)*B5-C5)*G5/(1+INDEX(products!$G$2:$G$5,F5)*G5/12))</f>
        <v>0</v>
      </c>
      <c r="I5" s="0" t="n">
        <f aca="false">IF(F5=0,0,ROUNDDOWN(MIN(D5,INDEX(products!$E$2:$E$5,F5),MAX(H5,0)),-6))</f>
        <v>0</v>
      </c>
      <c r="J5" s="0" t="n">
        <f aca="false">IF(I5&lt;5000000,0,I5)</f>
        <v>0</v>
      </c>
      <c r="K5" s="0" t="n">
        <f aca="false">IF(J5=0,0,ROUND(J5*INDEX(products!$G$2:$G$5,F5)*G5/12,0))</f>
        <v>0</v>
      </c>
      <c r="M5" s="0" t="n">
        <v>4</v>
      </c>
      <c r="N5" s="0" t="str">
        <f aca="false">INDEX(products!$B$2:$B$5,M5)</f>
        <v>Micro</v>
      </c>
      <c r="O5" s="0" t="n">
        <f aca="false">COUNTIFS($F$2:$F$81,M5,$J$2:$J$81,"&gt;0")</f>
        <v>19</v>
      </c>
      <c r="P5" s="0" t="n">
        <f aca="false">SUMIFS($J$2:$J$81,$F$2:$F$81,M5)</f>
        <v>268000000</v>
      </c>
      <c r="Q5" s="0" t="n">
        <f aca="false">SUMIFS($K$2:$K$81,$F$2:$F$81,M5)</f>
        <v>76800000</v>
      </c>
    </row>
    <row r="6" customFormat="false" ht="15" hidden="false" customHeight="false" outlineLevel="0" collapsed="false">
      <c r="A6" s="0" t="n">
        <v>5005</v>
      </c>
      <c r="B6" s="0" t="n">
        <v>20500000</v>
      </c>
      <c r="C6" s="0" t="n">
        <v>2200000</v>
      </c>
      <c r="D6" s="0" t="n">
        <v>110000000</v>
      </c>
      <c r="E6" s="0" t="n">
        <v>18</v>
      </c>
      <c r="F6" s="0" t="n">
        <v>4</v>
      </c>
      <c r="G6" s="0" t="n">
        <f aca="false">IF(F6=0,0,MIN(E6,INDEX(products!$F$2:$F$5,F6)))</f>
        <v>12</v>
      </c>
      <c r="H6" s="0" t="n">
        <f aca="false">IF(F6=0,0,(INDEX(products!$H$2:$H$5,F6)*B6-C6)*G6/(1+INDEX(products!$G$2:$G$5,F6)*G6/12))</f>
        <v>45923076.9230769</v>
      </c>
      <c r="I6" s="0" t="n">
        <f aca="false">IF(F6=0,0,ROUNDDOWN(MIN(D6,INDEX(products!$E$2:$E$5,F6),MAX(H6,0)),-6))</f>
        <v>15000000</v>
      </c>
      <c r="J6" s="0" t="n">
        <f aca="false">IF(I6&lt;5000000,0,I6)</f>
        <v>15000000</v>
      </c>
      <c r="K6" s="0" t="n">
        <f aca="false">IF(J6=0,0,ROUND(J6*INDEX(products!$G$2:$G$5,F6)*G6/12,0))</f>
        <v>4500000</v>
      </c>
    </row>
    <row r="7" customFormat="false" ht="15" hidden="false" customHeight="false" outlineLevel="0" collapsed="false">
      <c r="A7" s="0" t="n">
        <v>5006</v>
      </c>
      <c r="B7" s="0" t="n">
        <v>17500000</v>
      </c>
      <c r="C7" s="0" t="n">
        <v>0</v>
      </c>
      <c r="D7" s="0" t="n">
        <v>62000000</v>
      </c>
      <c r="E7" s="0" t="n">
        <v>48</v>
      </c>
      <c r="F7" s="0" t="n">
        <v>4</v>
      </c>
      <c r="G7" s="0" t="n">
        <f aca="false">IF(F7=0,0,MIN(E7,INDEX(products!$F$2:$F$5,F7)))</f>
        <v>12</v>
      </c>
      <c r="H7" s="0" t="n">
        <f aca="false">IF(F7=0,0,(INDEX(products!$H$2:$H$5,F7)*B7-C7)*G7/(1+INDEX(products!$G$2:$G$5,F7)*G7/12))</f>
        <v>56538461.5384615</v>
      </c>
      <c r="I7" s="0" t="n">
        <f aca="false">IF(F7=0,0,ROUNDDOWN(MIN(D7,INDEX(products!$E$2:$E$5,F7),MAX(H7,0)),-6))</f>
        <v>15000000</v>
      </c>
      <c r="J7" s="0" t="n">
        <f aca="false">IF(I7&lt;5000000,0,I7)</f>
        <v>15000000</v>
      </c>
      <c r="K7" s="0" t="n">
        <f aca="false">IF(J7=0,0,ROUND(J7*INDEX(products!$G$2:$G$5,F7)*G7/12,0))</f>
        <v>4500000</v>
      </c>
    </row>
    <row r="8" customFormat="false" ht="15" hidden="false" customHeight="false" outlineLevel="0" collapsed="false">
      <c r="A8" s="0" t="n">
        <v>5007</v>
      </c>
      <c r="B8" s="0" t="n">
        <v>8500000</v>
      </c>
      <c r="C8" s="0" t="n">
        <v>2100000</v>
      </c>
      <c r="D8" s="0" t="n">
        <v>84000000</v>
      </c>
      <c r="E8" s="0" t="n">
        <v>24</v>
      </c>
      <c r="F8" s="0" t="n">
        <v>3</v>
      </c>
      <c r="G8" s="0" t="n">
        <f aca="false">IF(F8=0,0,MIN(E8,INDEX(products!$F$2:$F$5,F8)))</f>
        <v>24</v>
      </c>
      <c r="H8" s="0" t="n">
        <f aca="false">IF(F8=0,0,(INDEX(products!$H$2:$H$5,F8)*B8-C8)*G8/(1+INDEX(products!$G$2:$G$5,F8)*G8/12))</f>
        <v>21081081.0810811</v>
      </c>
      <c r="I8" s="0" t="n">
        <f aca="false">IF(F8=0,0,ROUNDDOWN(MIN(D8,INDEX(products!$E$2:$E$5,F8),MAX(H8,0)),-6))</f>
        <v>21000000</v>
      </c>
      <c r="J8" s="0" t="n">
        <f aca="false">IF(I8&lt;5000000,0,I8)</f>
        <v>21000000</v>
      </c>
      <c r="K8" s="0" t="n">
        <f aca="false">IF(J8=0,0,ROUND(J8*INDEX(products!$G$2:$G$5,F8)*G8/12,0))</f>
        <v>10080000</v>
      </c>
    </row>
    <row r="9" customFormat="false" ht="15" hidden="false" customHeight="false" outlineLevel="0" collapsed="false">
      <c r="A9" s="0" t="n">
        <v>5008</v>
      </c>
      <c r="B9" s="0" t="n">
        <v>11000000</v>
      </c>
      <c r="C9" s="0" t="n">
        <v>3000000</v>
      </c>
      <c r="D9" s="0" t="n">
        <v>55000000</v>
      </c>
      <c r="E9" s="0" t="n">
        <v>36</v>
      </c>
      <c r="F9" s="0" t="n">
        <v>3</v>
      </c>
      <c r="G9" s="0" t="n">
        <f aca="false">IF(F9=0,0,MIN(E9,INDEX(products!$F$2:$F$5,F9)))</f>
        <v>24</v>
      </c>
      <c r="H9" s="0" t="n">
        <f aca="false">IF(F9=0,0,(INDEX(products!$H$2:$H$5,F9)*B9-C9)*G9/(1+INDEX(products!$G$2:$G$5,F9)*G9/12))</f>
        <v>22702702.7027027</v>
      </c>
      <c r="I9" s="0" t="n">
        <f aca="false">IF(F9=0,0,ROUNDDOWN(MIN(D9,INDEX(products!$E$2:$E$5,F9),MAX(H9,0)),-6))</f>
        <v>22000000</v>
      </c>
      <c r="J9" s="0" t="n">
        <f aca="false">IF(I9&lt;5000000,0,I9)</f>
        <v>22000000</v>
      </c>
      <c r="K9" s="0" t="n">
        <f aca="false">IF(J9=0,0,ROUND(J9*INDEX(products!$G$2:$G$5,F9)*G9/12,0))</f>
        <v>10560000</v>
      </c>
    </row>
    <row r="10" customFormat="false" ht="15" hidden="false" customHeight="false" outlineLevel="0" collapsed="false">
      <c r="A10" s="0" t="n">
        <v>5009</v>
      </c>
      <c r="B10" s="0" t="n">
        <v>11000000</v>
      </c>
      <c r="C10" s="0" t="n">
        <v>2700000</v>
      </c>
      <c r="D10" s="0" t="n">
        <v>120000000</v>
      </c>
      <c r="E10" s="0" t="n">
        <v>18</v>
      </c>
      <c r="F10" s="0" t="n">
        <v>0</v>
      </c>
      <c r="G10" s="0" t="n">
        <f aca="false">IF(F10=0,0,MIN(E10,INDEX(products!$F$2:$F$5,F10)))</f>
        <v>0</v>
      </c>
      <c r="H10" s="0" t="n">
        <f aca="false">IF(F10=0,0,(INDEX(products!$H$2:$H$5,F10)*B10-C10)*G10/(1+INDEX(products!$G$2:$G$5,F10)*G10/12))</f>
        <v>0</v>
      </c>
      <c r="I10" s="0" t="n">
        <f aca="false">IF(F10=0,0,ROUNDDOWN(MIN(D10,INDEX(products!$E$2:$E$5,F10),MAX(H10,0)),-6))</f>
        <v>0</v>
      </c>
      <c r="J10" s="0" t="n">
        <f aca="false">IF(I10&lt;5000000,0,I10)</f>
        <v>0</v>
      </c>
      <c r="K10" s="0" t="n">
        <f aca="false">IF(J10=0,0,ROUND(J10*INDEX(products!$G$2:$G$5,F10)*G10/12,0))</f>
        <v>0</v>
      </c>
    </row>
    <row r="11" customFormat="false" ht="15" hidden="false" customHeight="false" outlineLevel="0" collapsed="false">
      <c r="A11" s="0" t="n">
        <v>5010</v>
      </c>
      <c r="B11" s="0" t="n">
        <v>7000000</v>
      </c>
      <c r="C11" s="0" t="n">
        <v>600000</v>
      </c>
      <c r="D11" s="0" t="n">
        <v>32000000</v>
      </c>
      <c r="E11" s="0" t="n">
        <v>6</v>
      </c>
      <c r="F11" s="0" t="n">
        <v>3</v>
      </c>
      <c r="G11" s="0" t="n">
        <f aca="false">IF(F11=0,0,MIN(E11,INDEX(products!$F$2:$F$5,F11)))</f>
        <v>6</v>
      </c>
      <c r="H11" s="0" t="n">
        <f aca="false">IF(F11=0,0,(INDEX(products!$H$2:$H$5,F11)*B11-C11)*G11/(1+INDEX(products!$G$2:$G$5,F11)*G11/12))</f>
        <v>11785714.2857143</v>
      </c>
      <c r="I11" s="0" t="n">
        <f aca="false">IF(F11=0,0,ROUNDDOWN(MIN(D11,INDEX(products!$E$2:$E$5,F11),MAX(H11,0)),-6))</f>
        <v>11000000</v>
      </c>
      <c r="J11" s="0" t="n">
        <f aca="false">IF(I11&lt;5000000,0,I11)</f>
        <v>11000000</v>
      </c>
      <c r="K11" s="0" t="n">
        <f aca="false">IF(J11=0,0,ROUND(J11*INDEX(products!$G$2:$G$5,F11)*G11/12,0))</f>
        <v>1320000</v>
      </c>
    </row>
    <row r="12" customFormat="false" ht="15" hidden="false" customHeight="false" outlineLevel="0" collapsed="false">
      <c r="A12" s="0" t="n">
        <v>5011</v>
      </c>
      <c r="B12" s="0" t="n">
        <v>6000000</v>
      </c>
      <c r="C12" s="0" t="n">
        <v>0</v>
      </c>
      <c r="D12" s="0" t="n">
        <v>60000000</v>
      </c>
      <c r="E12" s="0" t="n">
        <v>12</v>
      </c>
      <c r="F12" s="0" t="n">
        <v>4</v>
      </c>
      <c r="G12" s="0" t="n">
        <f aca="false">IF(F12=0,0,MIN(E12,INDEX(products!$F$2:$F$5,F12)))</f>
        <v>12</v>
      </c>
      <c r="H12" s="0" t="n">
        <f aca="false">IF(F12=0,0,(INDEX(products!$H$2:$H$5,F12)*B12-C12)*G12/(1+INDEX(products!$G$2:$G$5,F12)*G12/12))</f>
        <v>19384615.3846154</v>
      </c>
      <c r="I12" s="0" t="n">
        <f aca="false">IF(F12=0,0,ROUNDDOWN(MIN(D12,INDEX(products!$E$2:$E$5,F12),MAX(H12,0)),-6))</f>
        <v>15000000</v>
      </c>
      <c r="J12" s="0" t="n">
        <f aca="false">IF(I12&lt;5000000,0,I12)</f>
        <v>15000000</v>
      </c>
      <c r="K12" s="0" t="n">
        <f aca="false">IF(J12=0,0,ROUND(J12*INDEX(products!$G$2:$G$5,F12)*G12/12,0))</f>
        <v>4500000</v>
      </c>
    </row>
    <row r="13" customFormat="false" ht="15" hidden="false" customHeight="false" outlineLevel="0" collapsed="false">
      <c r="A13" s="0" t="n">
        <v>5012</v>
      </c>
      <c r="B13" s="0" t="n">
        <v>17500000</v>
      </c>
      <c r="C13" s="0" t="n">
        <v>5800000</v>
      </c>
      <c r="D13" s="0" t="n">
        <v>166000000</v>
      </c>
      <c r="E13" s="0" t="n">
        <v>6</v>
      </c>
      <c r="F13" s="0" t="n">
        <v>4</v>
      </c>
      <c r="G13" s="0" t="n">
        <f aca="false">IF(F13=0,0,MIN(E13,INDEX(products!$F$2:$F$5,F13)))</f>
        <v>6</v>
      </c>
      <c r="H13" s="0" t="n">
        <f aca="false">IF(F13=0,0,(INDEX(products!$H$2:$H$5,F13)*B13-C13)*G13/(1+INDEX(products!$G$2:$G$5,F13)*G13/12))</f>
        <v>1695652.17391304</v>
      </c>
      <c r="I13" s="0" t="n">
        <f aca="false">IF(F13=0,0,ROUNDDOWN(MIN(D13,INDEX(products!$E$2:$E$5,F13),MAX(H13,0)),-6))</f>
        <v>1000000</v>
      </c>
      <c r="J13" s="0" t="n">
        <f aca="false">IF(I13&lt;5000000,0,I13)</f>
        <v>0</v>
      </c>
      <c r="K13" s="0" t="n">
        <f aca="false">IF(J13=0,0,ROUND(J13*INDEX(products!$G$2:$G$5,F13)*G13/12,0))</f>
        <v>0</v>
      </c>
    </row>
    <row r="14" customFormat="false" ht="15" hidden="false" customHeight="false" outlineLevel="0" collapsed="false">
      <c r="A14" s="0" t="n">
        <v>5013</v>
      </c>
      <c r="B14" s="0" t="n">
        <v>24000000</v>
      </c>
      <c r="C14" s="0" t="n">
        <v>7600000</v>
      </c>
      <c r="D14" s="0" t="n">
        <v>111000000</v>
      </c>
      <c r="E14" s="0" t="n">
        <v>48</v>
      </c>
      <c r="F14" s="0" t="n">
        <v>3</v>
      </c>
      <c r="G14" s="0" t="n">
        <f aca="false">IF(F14=0,0,MIN(E14,INDEX(products!$F$2:$F$5,F14)))</f>
        <v>24</v>
      </c>
      <c r="H14" s="0" t="n">
        <f aca="false">IF(F14=0,0,(INDEX(products!$H$2:$H$5,F14)*B14-C14)*G14/(1+INDEX(products!$G$2:$G$5,F14)*G14/12))</f>
        <v>32432432.4324324</v>
      </c>
      <c r="I14" s="0" t="n">
        <f aca="false">IF(F14=0,0,ROUNDDOWN(MIN(D14,INDEX(products!$E$2:$E$5,F14),MAX(H14,0)),-6))</f>
        <v>32000000</v>
      </c>
      <c r="J14" s="0" t="n">
        <f aca="false">IF(I14&lt;5000000,0,I14)</f>
        <v>32000000</v>
      </c>
      <c r="K14" s="0" t="n">
        <f aca="false">IF(J14=0,0,ROUND(J14*INDEX(products!$G$2:$G$5,F14)*G14/12,0))</f>
        <v>15360000</v>
      </c>
    </row>
    <row r="15" customFormat="false" ht="15" hidden="false" customHeight="false" outlineLevel="0" collapsed="false">
      <c r="A15" s="0" t="n">
        <v>5014</v>
      </c>
      <c r="B15" s="0" t="n">
        <v>12500000</v>
      </c>
      <c r="C15" s="0" t="n">
        <v>0</v>
      </c>
      <c r="D15" s="0" t="n">
        <v>52000000</v>
      </c>
      <c r="E15" s="0" t="n">
        <v>24</v>
      </c>
      <c r="F15" s="0" t="n">
        <v>4</v>
      </c>
      <c r="G15" s="0" t="n">
        <f aca="false">IF(F15=0,0,MIN(E15,INDEX(products!$F$2:$F$5,F15)))</f>
        <v>12</v>
      </c>
      <c r="H15" s="0" t="n">
        <f aca="false">IF(F15=0,0,(INDEX(products!$H$2:$H$5,F15)*B15-C15)*G15/(1+INDEX(products!$G$2:$G$5,F15)*G15/12))</f>
        <v>40384615.3846154</v>
      </c>
      <c r="I15" s="0" t="n">
        <f aca="false">IF(F15=0,0,ROUNDDOWN(MIN(D15,INDEX(products!$E$2:$E$5,F15),MAX(H15,0)),-6))</f>
        <v>15000000</v>
      </c>
      <c r="J15" s="0" t="n">
        <f aca="false">IF(I15&lt;5000000,0,I15)</f>
        <v>15000000</v>
      </c>
      <c r="K15" s="0" t="n">
        <f aca="false">IF(J15=0,0,ROUND(J15*INDEX(products!$G$2:$G$5,F15)*G15/12,0))</f>
        <v>4500000</v>
      </c>
    </row>
    <row r="16" customFormat="false" ht="15" hidden="false" customHeight="false" outlineLevel="0" collapsed="false">
      <c r="A16" s="0" t="n">
        <v>5015</v>
      </c>
      <c r="B16" s="0" t="n">
        <v>9500000</v>
      </c>
      <c r="C16" s="0" t="n">
        <v>0</v>
      </c>
      <c r="D16" s="0" t="n">
        <v>82000000</v>
      </c>
      <c r="E16" s="0" t="n">
        <v>12</v>
      </c>
      <c r="F16" s="0" t="n">
        <v>0</v>
      </c>
      <c r="G16" s="0" t="n">
        <f aca="false">IF(F16=0,0,MIN(E16,INDEX(products!$F$2:$F$5,F16)))</f>
        <v>0</v>
      </c>
      <c r="H16" s="0" t="n">
        <f aca="false">IF(F16=0,0,(INDEX(products!$H$2:$H$5,F16)*B16-C16)*G16/(1+INDEX(products!$G$2:$G$5,F16)*G16/12))</f>
        <v>0</v>
      </c>
      <c r="I16" s="0" t="n">
        <f aca="false">IF(F16=0,0,ROUNDDOWN(MIN(D16,INDEX(products!$E$2:$E$5,F16),MAX(H16,0)),-6))</f>
        <v>0</v>
      </c>
      <c r="J16" s="0" t="n">
        <f aca="false">IF(I16&lt;5000000,0,I16)</f>
        <v>0</v>
      </c>
      <c r="K16" s="0" t="n">
        <f aca="false">IF(J16=0,0,ROUND(J16*INDEX(products!$G$2:$G$5,F16)*G16/12,0))</f>
        <v>0</v>
      </c>
    </row>
    <row r="17" customFormat="false" ht="15" hidden="false" customHeight="false" outlineLevel="0" collapsed="false">
      <c r="A17" s="0" t="n">
        <v>5016</v>
      </c>
      <c r="B17" s="0" t="n">
        <v>26000000</v>
      </c>
      <c r="C17" s="0" t="n">
        <v>0</v>
      </c>
      <c r="D17" s="0" t="n">
        <v>200000000</v>
      </c>
      <c r="E17" s="0" t="n">
        <v>24</v>
      </c>
      <c r="F17" s="0" t="n">
        <v>4</v>
      </c>
      <c r="G17" s="0" t="n">
        <f aca="false">IF(F17=0,0,MIN(E17,INDEX(products!$F$2:$F$5,F17)))</f>
        <v>12</v>
      </c>
      <c r="H17" s="0" t="n">
        <f aca="false">IF(F17=0,0,(INDEX(products!$H$2:$H$5,F17)*B17-C17)*G17/(1+INDEX(products!$G$2:$G$5,F17)*G17/12))</f>
        <v>84000000</v>
      </c>
      <c r="I17" s="0" t="n">
        <f aca="false">IF(F17=0,0,ROUNDDOWN(MIN(D17,INDEX(products!$E$2:$E$5,F17),MAX(H17,0)),-6))</f>
        <v>15000000</v>
      </c>
      <c r="J17" s="0" t="n">
        <f aca="false">IF(I17&lt;5000000,0,I17)</f>
        <v>15000000</v>
      </c>
      <c r="K17" s="0" t="n">
        <f aca="false">IF(J17=0,0,ROUND(J17*INDEX(products!$G$2:$G$5,F17)*G17/12,0))</f>
        <v>4500000</v>
      </c>
    </row>
    <row r="18" customFormat="false" ht="15" hidden="false" customHeight="false" outlineLevel="0" collapsed="false">
      <c r="A18" s="0" t="n">
        <v>5017</v>
      </c>
      <c r="B18" s="0" t="n">
        <v>6000000</v>
      </c>
      <c r="C18" s="0" t="n">
        <v>0</v>
      </c>
      <c r="D18" s="0" t="n">
        <v>50000000</v>
      </c>
      <c r="E18" s="0" t="n">
        <v>48</v>
      </c>
      <c r="F18" s="0" t="n">
        <v>4</v>
      </c>
      <c r="G18" s="0" t="n">
        <f aca="false">IF(F18=0,0,MIN(E18,INDEX(products!$F$2:$F$5,F18)))</f>
        <v>12</v>
      </c>
      <c r="H18" s="0" t="n">
        <f aca="false">IF(F18=0,0,(INDEX(products!$H$2:$H$5,F18)*B18-C18)*G18/(1+INDEX(products!$G$2:$G$5,F18)*G18/12))</f>
        <v>19384615.3846154</v>
      </c>
      <c r="I18" s="0" t="n">
        <f aca="false">IF(F18=0,0,ROUNDDOWN(MIN(D18,INDEX(products!$E$2:$E$5,F18),MAX(H18,0)),-6))</f>
        <v>15000000</v>
      </c>
      <c r="J18" s="0" t="n">
        <f aca="false">IF(I18&lt;5000000,0,I18)</f>
        <v>15000000</v>
      </c>
      <c r="K18" s="0" t="n">
        <f aca="false">IF(J18=0,0,ROUND(J18*INDEX(products!$G$2:$G$5,F18)*G18/12,0))</f>
        <v>4500000</v>
      </c>
    </row>
    <row r="19" customFormat="false" ht="15" hidden="false" customHeight="false" outlineLevel="0" collapsed="false">
      <c r="A19" s="0" t="n">
        <v>5018</v>
      </c>
      <c r="B19" s="0" t="n">
        <v>14500000</v>
      </c>
      <c r="C19" s="0" t="n">
        <v>3600000</v>
      </c>
      <c r="D19" s="0" t="n">
        <v>49000000</v>
      </c>
      <c r="E19" s="0" t="n">
        <v>6</v>
      </c>
      <c r="F19" s="0" t="n">
        <v>2</v>
      </c>
      <c r="G19" s="0" t="n">
        <f aca="false">IF(F19=0,0,MIN(E19,INDEX(products!$F$2:$F$5,F19)))</f>
        <v>6</v>
      </c>
      <c r="H19" s="0" t="n">
        <f aca="false">IF(F19=0,0,(INDEX(products!$H$2:$H$5,F19)*B19-C19)*G19/(1+INDEX(products!$G$2:$G$5,F19)*G19/12))</f>
        <v>16250000</v>
      </c>
      <c r="I19" s="0" t="n">
        <f aca="false">IF(F19=0,0,ROUNDDOWN(MIN(D19,INDEX(products!$E$2:$E$5,F19),MAX(H19,0)),-6))</f>
        <v>16000000</v>
      </c>
      <c r="J19" s="0" t="n">
        <f aca="false">IF(I19&lt;5000000,0,I19)</f>
        <v>16000000</v>
      </c>
      <c r="K19" s="0" t="n">
        <f aca="false">IF(J19=0,0,ROUND(J19*INDEX(products!$G$2:$G$5,F19)*G19/12,0))</f>
        <v>1280000</v>
      </c>
    </row>
    <row r="20" customFormat="false" ht="15" hidden="false" customHeight="false" outlineLevel="0" collapsed="false">
      <c r="A20" s="0" t="n">
        <v>5019</v>
      </c>
      <c r="B20" s="0" t="n">
        <v>21000000</v>
      </c>
      <c r="C20" s="0" t="n">
        <v>1300000</v>
      </c>
      <c r="D20" s="0" t="n">
        <v>189000000</v>
      </c>
      <c r="E20" s="0" t="n">
        <v>48</v>
      </c>
      <c r="F20" s="0" t="n">
        <v>2</v>
      </c>
      <c r="G20" s="0" t="n">
        <f aca="false">IF(F20=0,0,MIN(E20,INDEX(products!$F$2:$F$5,F20)))</f>
        <v>36</v>
      </c>
      <c r="H20" s="0" t="n">
        <f aca="false">IF(F20=0,0,(INDEX(products!$H$2:$H$5,F20)*B20-C20)*G20/(1+INDEX(products!$G$2:$G$5,F20)*G20/12))</f>
        <v>198243243.243243</v>
      </c>
      <c r="I20" s="0" t="n">
        <f aca="false">IF(F20=0,0,ROUNDDOWN(MIN(D20,INDEX(products!$E$2:$E$5,F20),MAX(H20,0)),-6))</f>
        <v>150000000</v>
      </c>
      <c r="J20" s="0" t="n">
        <f aca="false">IF(I20&lt;5000000,0,I20)</f>
        <v>150000000</v>
      </c>
      <c r="K20" s="0" t="n">
        <f aca="false">IF(J20=0,0,ROUND(J20*INDEX(products!$G$2:$G$5,F20)*G20/12,0))</f>
        <v>72000000</v>
      </c>
    </row>
    <row r="21" customFormat="false" ht="15" hidden="false" customHeight="false" outlineLevel="0" collapsed="false">
      <c r="A21" s="0" t="n">
        <v>5020</v>
      </c>
      <c r="B21" s="0" t="n">
        <v>26000000</v>
      </c>
      <c r="C21" s="0" t="n">
        <v>5100000</v>
      </c>
      <c r="D21" s="0" t="n">
        <v>191000000</v>
      </c>
      <c r="E21" s="0" t="n">
        <v>48</v>
      </c>
      <c r="F21" s="0" t="n">
        <v>4</v>
      </c>
      <c r="G21" s="0" t="n">
        <f aca="false">IF(F21=0,0,MIN(E21,INDEX(products!$F$2:$F$5,F21)))</f>
        <v>12</v>
      </c>
      <c r="H21" s="0" t="n">
        <f aca="false">IF(F21=0,0,(INDEX(products!$H$2:$H$5,F21)*B21-C21)*G21/(1+INDEX(products!$G$2:$G$5,F21)*G21/12))</f>
        <v>36923076.9230769</v>
      </c>
      <c r="I21" s="0" t="n">
        <f aca="false">IF(F21=0,0,ROUNDDOWN(MIN(D21,INDEX(products!$E$2:$E$5,F21),MAX(H21,0)),-6))</f>
        <v>15000000</v>
      </c>
      <c r="J21" s="0" t="n">
        <f aca="false">IF(I21&lt;5000000,0,I21)</f>
        <v>15000000</v>
      </c>
      <c r="K21" s="0" t="n">
        <f aca="false">IF(J21=0,0,ROUND(J21*INDEX(products!$G$2:$G$5,F21)*G21/12,0))</f>
        <v>4500000</v>
      </c>
    </row>
    <row r="22" customFormat="false" ht="15" hidden="false" customHeight="false" outlineLevel="0" collapsed="false">
      <c r="A22" s="0" t="n">
        <v>5021</v>
      </c>
      <c r="B22" s="0" t="n">
        <v>8500000</v>
      </c>
      <c r="C22" s="0" t="n">
        <v>3100000</v>
      </c>
      <c r="D22" s="0" t="n">
        <v>33000000</v>
      </c>
      <c r="E22" s="0" t="n">
        <v>36</v>
      </c>
      <c r="F22" s="0" t="n">
        <v>3</v>
      </c>
      <c r="G22" s="0" t="n">
        <f aca="false">IF(F22=0,0,MIN(E22,INDEX(products!$F$2:$F$5,F22)))</f>
        <v>24</v>
      </c>
      <c r="H22" s="0" t="n">
        <f aca="false">IF(F22=0,0,(INDEX(products!$H$2:$H$5,F22)*B22-C22)*G22/(1+INDEX(products!$G$2:$G$5,F22)*G22/12))</f>
        <v>4864864.86486487</v>
      </c>
      <c r="I22" s="0" t="n">
        <f aca="false">IF(F22=0,0,ROUNDDOWN(MIN(D22,INDEX(products!$E$2:$E$5,F22),MAX(H22,0)),-6))</f>
        <v>4000000</v>
      </c>
      <c r="J22" s="0" t="n">
        <f aca="false">IF(I22&lt;5000000,0,I22)</f>
        <v>0</v>
      </c>
      <c r="K22" s="0" t="n">
        <f aca="false">IF(J22=0,0,ROUND(J22*INDEX(products!$G$2:$G$5,F22)*G22/12,0))</f>
        <v>0</v>
      </c>
    </row>
    <row r="23" customFormat="false" ht="15" hidden="false" customHeight="false" outlineLevel="0" collapsed="false">
      <c r="A23" s="0" t="n">
        <v>5022</v>
      </c>
      <c r="B23" s="0" t="n">
        <v>9500000</v>
      </c>
      <c r="C23" s="0" t="n">
        <v>1500000</v>
      </c>
      <c r="D23" s="0" t="n">
        <v>45000000</v>
      </c>
      <c r="E23" s="0" t="n">
        <v>36</v>
      </c>
      <c r="F23" s="0" t="n">
        <v>3</v>
      </c>
      <c r="G23" s="0" t="n">
        <f aca="false">IF(F23=0,0,MIN(E23,INDEX(products!$F$2:$F$5,F23)))</f>
        <v>24</v>
      </c>
      <c r="H23" s="0" t="n">
        <f aca="false">IF(F23=0,0,(INDEX(products!$H$2:$H$5,F23)*B23-C23)*G23/(1+INDEX(products!$G$2:$G$5,F23)*G23/12))</f>
        <v>37297297.2972973</v>
      </c>
      <c r="I23" s="0" t="n">
        <f aca="false">IF(F23=0,0,ROUNDDOWN(MIN(D23,INDEX(products!$E$2:$E$5,F23),MAX(H23,0)),-6))</f>
        <v>37000000</v>
      </c>
      <c r="J23" s="0" t="n">
        <f aca="false">IF(I23&lt;5000000,0,I23)</f>
        <v>37000000</v>
      </c>
      <c r="K23" s="0" t="n">
        <f aca="false">IF(J23=0,0,ROUND(J23*INDEX(products!$G$2:$G$5,F23)*G23/12,0))</f>
        <v>17760000</v>
      </c>
    </row>
    <row r="24" customFormat="false" ht="15" hidden="false" customHeight="false" outlineLevel="0" collapsed="false">
      <c r="A24" s="0" t="n">
        <v>5023</v>
      </c>
      <c r="B24" s="0" t="n">
        <v>6000000</v>
      </c>
      <c r="C24" s="0" t="n">
        <v>0</v>
      </c>
      <c r="D24" s="0" t="n">
        <v>45000000</v>
      </c>
      <c r="E24" s="0" t="n">
        <v>48</v>
      </c>
      <c r="F24" s="0" t="n">
        <v>4</v>
      </c>
      <c r="G24" s="0" t="n">
        <f aca="false">IF(F24=0,0,MIN(E24,INDEX(products!$F$2:$F$5,F24)))</f>
        <v>12</v>
      </c>
      <c r="H24" s="0" t="n">
        <f aca="false">IF(F24=0,0,(INDEX(products!$H$2:$H$5,F24)*B24-C24)*G24/(1+INDEX(products!$G$2:$G$5,F24)*G24/12))</f>
        <v>19384615.3846154</v>
      </c>
      <c r="I24" s="0" t="n">
        <f aca="false">IF(F24=0,0,ROUNDDOWN(MIN(D24,INDEX(products!$E$2:$E$5,F24),MAX(H24,0)),-6))</f>
        <v>15000000</v>
      </c>
      <c r="J24" s="0" t="n">
        <f aca="false">IF(I24&lt;5000000,0,I24)</f>
        <v>15000000</v>
      </c>
      <c r="K24" s="0" t="n">
        <f aca="false">IF(J24=0,0,ROUND(J24*INDEX(products!$G$2:$G$5,F24)*G24/12,0))</f>
        <v>4500000</v>
      </c>
    </row>
    <row r="25" customFormat="false" ht="15" hidden="false" customHeight="false" outlineLevel="0" collapsed="false">
      <c r="A25" s="0" t="n">
        <v>5024</v>
      </c>
      <c r="B25" s="0" t="n">
        <v>45000000</v>
      </c>
      <c r="C25" s="0" t="n">
        <v>0</v>
      </c>
      <c r="D25" s="0" t="n">
        <v>200000000</v>
      </c>
      <c r="E25" s="0" t="n">
        <v>6</v>
      </c>
      <c r="F25" s="0" t="n">
        <v>1</v>
      </c>
      <c r="G25" s="0" t="n">
        <f aca="false">IF(F25=0,0,MIN(E25,INDEX(products!$F$2:$F$5,F25)))</f>
        <v>6</v>
      </c>
      <c r="H25" s="0" t="n">
        <f aca="false">IF(F25=0,0,(INDEX(products!$H$2:$H$5,F25)*B25-C25)*G25/(1+INDEX(products!$G$2:$G$5,F25)*G25/12))</f>
        <v>128571428.571429</v>
      </c>
      <c r="I25" s="0" t="n">
        <f aca="false">IF(F25=0,0,ROUNDDOWN(MIN(D25,INDEX(products!$E$2:$E$5,F25),MAX(H25,0)),-6))</f>
        <v>128000000</v>
      </c>
      <c r="J25" s="0" t="n">
        <f aca="false">IF(I25&lt;5000000,0,I25)</f>
        <v>128000000</v>
      </c>
      <c r="K25" s="0" t="n">
        <f aca="false">IF(J25=0,0,ROUND(J25*INDEX(products!$G$2:$G$5,F25)*G25/12,0))</f>
        <v>6400000</v>
      </c>
    </row>
    <row r="26" customFormat="false" ht="15" hidden="false" customHeight="false" outlineLevel="0" collapsed="false">
      <c r="A26" s="0" t="n">
        <v>5025</v>
      </c>
      <c r="B26" s="0" t="n">
        <v>13000000</v>
      </c>
      <c r="C26" s="0" t="n">
        <v>0</v>
      </c>
      <c r="D26" s="0" t="n">
        <v>133000000</v>
      </c>
      <c r="E26" s="0" t="n">
        <v>6</v>
      </c>
      <c r="F26" s="0" t="n">
        <v>3</v>
      </c>
      <c r="G26" s="0" t="n">
        <f aca="false">IF(F26=0,0,MIN(E26,INDEX(products!$F$2:$F$5,F26)))</f>
        <v>6</v>
      </c>
      <c r="H26" s="0" t="n">
        <f aca="false">IF(F26=0,0,(INDEX(products!$H$2:$H$5,F26)*B26-C26)*G26/(1+INDEX(products!$G$2:$G$5,F26)*G26/12))</f>
        <v>27857142.8571429</v>
      </c>
      <c r="I26" s="0" t="n">
        <f aca="false">IF(F26=0,0,ROUNDDOWN(MIN(D26,INDEX(products!$E$2:$E$5,F26),MAX(H26,0)),-6))</f>
        <v>27000000</v>
      </c>
      <c r="J26" s="0" t="n">
        <f aca="false">IF(I26&lt;5000000,0,I26)</f>
        <v>27000000</v>
      </c>
      <c r="K26" s="0" t="n">
        <f aca="false">IF(J26=0,0,ROUND(J26*INDEX(products!$G$2:$G$5,F26)*G26/12,0))</f>
        <v>3240000</v>
      </c>
    </row>
    <row r="27" customFormat="false" ht="15" hidden="false" customHeight="false" outlineLevel="0" collapsed="false">
      <c r="A27" s="0" t="n">
        <v>5026</v>
      </c>
      <c r="B27" s="0" t="n">
        <v>4500000</v>
      </c>
      <c r="C27" s="0" t="n">
        <v>0</v>
      </c>
      <c r="D27" s="0" t="n">
        <v>32000000</v>
      </c>
      <c r="E27" s="0" t="n">
        <v>12</v>
      </c>
      <c r="F27" s="0" t="n">
        <v>0</v>
      </c>
      <c r="G27" s="0" t="n">
        <f aca="false">IF(F27=0,0,MIN(E27,INDEX(products!$F$2:$F$5,F27)))</f>
        <v>0</v>
      </c>
      <c r="H27" s="0" t="n">
        <f aca="false">IF(F27=0,0,(INDEX(products!$H$2:$H$5,F27)*B27-C27)*G27/(1+INDEX(products!$G$2:$G$5,F27)*G27/12))</f>
        <v>0</v>
      </c>
      <c r="I27" s="0" t="n">
        <f aca="false">IF(F27=0,0,ROUNDDOWN(MIN(D27,INDEX(products!$E$2:$E$5,F27),MAX(H27,0)),-6))</f>
        <v>0</v>
      </c>
      <c r="J27" s="0" t="n">
        <f aca="false">IF(I27&lt;5000000,0,I27)</f>
        <v>0</v>
      </c>
      <c r="K27" s="0" t="n">
        <f aca="false">IF(J27=0,0,ROUND(J27*INDEX(products!$G$2:$G$5,F27)*G27/12,0))</f>
        <v>0</v>
      </c>
    </row>
    <row r="28" customFormat="false" ht="15" hidden="false" customHeight="false" outlineLevel="0" collapsed="false">
      <c r="A28" s="0" t="n">
        <v>5027</v>
      </c>
      <c r="B28" s="0" t="n">
        <v>10000000</v>
      </c>
      <c r="C28" s="0" t="n">
        <v>3300000</v>
      </c>
      <c r="D28" s="0" t="n">
        <v>48000000</v>
      </c>
      <c r="E28" s="0" t="n">
        <v>24</v>
      </c>
      <c r="F28" s="0" t="n">
        <v>4</v>
      </c>
      <c r="G28" s="0" t="n">
        <f aca="false">IF(F28=0,0,MIN(E28,INDEX(products!$F$2:$F$5,F28)))</f>
        <v>12</v>
      </c>
      <c r="H28" s="0" t="n">
        <f aca="false">IF(F28=0,0,(INDEX(products!$H$2:$H$5,F28)*B28-C28)*G28/(1+INDEX(products!$G$2:$G$5,F28)*G28/12))</f>
        <v>1846153.84615385</v>
      </c>
      <c r="I28" s="0" t="n">
        <f aca="false">IF(F28=0,0,ROUNDDOWN(MIN(D28,INDEX(products!$E$2:$E$5,F28),MAX(H28,0)),-6))</f>
        <v>1000000</v>
      </c>
      <c r="J28" s="0" t="n">
        <f aca="false">IF(I28&lt;5000000,0,I28)</f>
        <v>0</v>
      </c>
      <c r="K28" s="0" t="n">
        <f aca="false">IF(J28=0,0,ROUND(J28*INDEX(products!$G$2:$G$5,F28)*G28/12,0))</f>
        <v>0</v>
      </c>
    </row>
    <row r="29" customFormat="false" ht="15" hidden="false" customHeight="false" outlineLevel="0" collapsed="false">
      <c r="A29" s="0" t="n">
        <v>5028</v>
      </c>
      <c r="B29" s="0" t="n">
        <v>23000000</v>
      </c>
      <c r="C29" s="0" t="n">
        <v>0</v>
      </c>
      <c r="D29" s="0" t="n">
        <v>154000000</v>
      </c>
      <c r="E29" s="0" t="n">
        <v>24</v>
      </c>
      <c r="F29" s="0" t="n">
        <v>2</v>
      </c>
      <c r="G29" s="0" t="n">
        <f aca="false">IF(F29=0,0,MIN(E29,INDEX(products!$F$2:$F$5,F29)))</f>
        <v>24</v>
      </c>
      <c r="H29" s="0" t="n">
        <f aca="false">IF(F29=0,0,(INDEX(products!$H$2:$H$5,F29)*B29-C29)*G29/(1+INDEX(products!$G$2:$G$5,F29)*G29/12))</f>
        <v>188181818.181818</v>
      </c>
      <c r="I29" s="0" t="n">
        <f aca="false">IF(F29=0,0,ROUNDDOWN(MIN(D29,INDEX(products!$E$2:$E$5,F29),MAX(H29,0)),-6))</f>
        <v>150000000</v>
      </c>
      <c r="J29" s="0" t="n">
        <f aca="false">IF(I29&lt;5000000,0,I29)</f>
        <v>150000000</v>
      </c>
      <c r="K29" s="0" t="n">
        <f aca="false">IF(J29=0,0,ROUND(J29*INDEX(products!$G$2:$G$5,F29)*G29/12,0))</f>
        <v>48000000</v>
      </c>
    </row>
    <row r="30" customFormat="false" ht="15" hidden="false" customHeight="false" outlineLevel="0" collapsed="false">
      <c r="A30" s="0" t="n">
        <v>5029</v>
      </c>
      <c r="B30" s="0" t="n">
        <v>7500000</v>
      </c>
      <c r="C30" s="0" t="n">
        <v>2100000</v>
      </c>
      <c r="D30" s="0" t="n">
        <v>27000000</v>
      </c>
      <c r="E30" s="0" t="n">
        <v>48</v>
      </c>
      <c r="F30" s="0" t="n">
        <v>4</v>
      </c>
      <c r="G30" s="0" t="n">
        <f aca="false">IF(F30=0,0,MIN(E30,INDEX(products!$F$2:$F$5,F30)))</f>
        <v>12</v>
      </c>
      <c r="H30" s="0" t="n">
        <f aca="false">IF(F30=0,0,(INDEX(products!$H$2:$H$5,F30)*B30-C30)*G30/(1+INDEX(products!$G$2:$G$5,F30)*G30/12))</f>
        <v>4846153.84615385</v>
      </c>
      <c r="I30" s="0" t="n">
        <f aca="false">IF(F30=0,0,ROUNDDOWN(MIN(D30,INDEX(products!$E$2:$E$5,F30),MAX(H30,0)),-6))</f>
        <v>4000000</v>
      </c>
      <c r="J30" s="0" t="n">
        <f aca="false">IF(I30&lt;5000000,0,I30)</f>
        <v>0</v>
      </c>
      <c r="K30" s="0" t="n">
        <f aca="false">IF(J30=0,0,ROUND(J30*INDEX(products!$G$2:$G$5,F30)*G30/12,0))</f>
        <v>0</v>
      </c>
    </row>
    <row r="31" customFormat="false" ht="15" hidden="false" customHeight="false" outlineLevel="0" collapsed="false">
      <c r="A31" s="0" t="n">
        <v>5030</v>
      </c>
      <c r="B31" s="0" t="n">
        <v>15500000</v>
      </c>
      <c r="C31" s="0" t="n">
        <v>4000000</v>
      </c>
      <c r="D31" s="0" t="n">
        <v>112000000</v>
      </c>
      <c r="E31" s="0" t="n">
        <v>12</v>
      </c>
      <c r="F31" s="0" t="n">
        <v>2</v>
      </c>
      <c r="G31" s="0" t="n">
        <f aca="false">IF(F31=0,0,MIN(E31,INDEX(products!$F$2:$F$5,F31)))</f>
        <v>12</v>
      </c>
      <c r="H31" s="0" t="n">
        <f aca="false">IF(F31=0,0,(INDEX(products!$H$2:$H$5,F31)*B31-C31)*G31/(1+INDEX(products!$G$2:$G$5,F31)*G31/12))</f>
        <v>30775862.0689655</v>
      </c>
      <c r="I31" s="0" t="n">
        <f aca="false">IF(F31=0,0,ROUNDDOWN(MIN(D31,INDEX(products!$E$2:$E$5,F31),MAX(H31,0)),-6))</f>
        <v>30000000</v>
      </c>
      <c r="J31" s="0" t="n">
        <f aca="false">IF(I31&lt;5000000,0,I31)</f>
        <v>30000000</v>
      </c>
      <c r="K31" s="0" t="n">
        <f aca="false">IF(J31=0,0,ROUND(J31*INDEX(products!$G$2:$G$5,F31)*G31/12,0))</f>
        <v>4800000</v>
      </c>
    </row>
    <row r="32" customFormat="false" ht="15" hidden="false" customHeight="false" outlineLevel="0" collapsed="false">
      <c r="A32" s="0" t="n">
        <v>5031</v>
      </c>
      <c r="B32" s="0" t="n">
        <v>8500000</v>
      </c>
      <c r="C32" s="0" t="n">
        <v>1500000</v>
      </c>
      <c r="D32" s="0" t="n">
        <v>45000000</v>
      </c>
      <c r="E32" s="0" t="n">
        <v>36</v>
      </c>
      <c r="F32" s="0" t="n">
        <v>3</v>
      </c>
      <c r="G32" s="0" t="n">
        <f aca="false">IF(F32=0,0,MIN(E32,INDEX(products!$F$2:$F$5,F32)))</f>
        <v>24</v>
      </c>
      <c r="H32" s="0" t="n">
        <f aca="false">IF(F32=0,0,(INDEX(products!$H$2:$H$5,F32)*B32-C32)*G32/(1+INDEX(products!$G$2:$G$5,F32)*G32/12))</f>
        <v>30810810.8108108</v>
      </c>
      <c r="I32" s="0" t="n">
        <f aca="false">IF(F32=0,0,ROUNDDOWN(MIN(D32,INDEX(products!$E$2:$E$5,F32),MAX(H32,0)),-6))</f>
        <v>30000000</v>
      </c>
      <c r="J32" s="0" t="n">
        <f aca="false">IF(I32&lt;5000000,0,I32)</f>
        <v>30000000</v>
      </c>
      <c r="K32" s="0" t="n">
        <f aca="false">IF(J32=0,0,ROUND(J32*INDEX(products!$G$2:$G$5,F32)*G32/12,0))</f>
        <v>14400000</v>
      </c>
    </row>
    <row r="33" customFormat="false" ht="15" hidden="false" customHeight="false" outlineLevel="0" collapsed="false">
      <c r="A33" s="0" t="n">
        <v>5032</v>
      </c>
      <c r="B33" s="0" t="n">
        <v>4500000</v>
      </c>
      <c r="C33" s="0" t="n">
        <v>0</v>
      </c>
      <c r="D33" s="0" t="n">
        <v>35000000</v>
      </c>
      <c r="E33" s="0" t="n">
        <v>36</v>
      </c>
      <c r="F33" s="0" t="n">
        <v>0</v>
      </c>
      <c r="G33" s="0" t="n">
        <f aca="false">IF(F33=0,0,MIN(E33,INDEX(products!$F$2:$F$5,F33)))</f>
        <v>0</v>
      </c>
      <c r="H33" s="0" t="n">
        <f aca="false">IF(F33=0,0,(INDEX(products!$H$2:$H$5,F33)*B33-C33)*G33/(1+INDEX(products!$G$2:$G$5,F33)*G33/12))</f>
        <v>0</v>
      </c>
      <c r="I33" s="0" t="n">
        <f aca="false">IF(F33=0,0,ROUNDDOWN(MIN(D33,INDEX(products!$E$2:$E$5,F33),MAX(H33,0)),-6))</f>
        <v>0</v>
      </c>
      <c r="J33" s="0" t="n">
        <f aca="false">IF(I33&lt;5000000,0,I33)</f>
        <v>0</v>
      </c>
      <c r="K33" s="0" t="n">
        <f aca="false">IF(J33=0,0,ROUND(J33*INDEX(products!$G$2:$G$5,F33)*G33/12,0))</f>
        <v>0</v>
      </c>
    </row>
    <row r="34" customFormat="false" ht="15" hidden="false" customHeight="false" outlineLevel="0" collapsed="false">
      <c r="A34" s="0" t="n">
        <v>5033</v>
      </c>
      <c r="B34" s="0" t="n">
        <v>18500000</v>
      </c>
      <c r="C34" s="0" t="n">
        <v>4700000</v>
      </c>
      <c r="D34" s="0" t="n">
        <v>146000000</v>
      </c>
      <c r="E34" s="0" t="n">
        <v>48</v>
      </c>
      <c r="F34" s="0" t="n">
        <v>0</v>
      </c>
      <c r="G34" s="0" t="n">
        <f aca="false">IF(F34=0,0,MIN(E34,INDEX(products!$F$2:$F$5,F34)))</f>
        <v>0</v>
      </c>
      <c r="H34" s="0" t="n">
        <f aca="false">IF(F34=0,0,(INDEX(products!$H$2:$H$5,F34)*B34-C34)*G34/(1+INDEX(products!$G$2:$G$5,F34)*G34/12))</f>
        <v>0</v>
      </c>
      <c r="I34" s="0" t="n">
        <f aca="false">IF(F34=0,0,ROUNDDOWN(MIN(D34,INDEX(products!$E$2:$E$5,F34),MAX(H34,0)),-6))</f>
        <v>0</v>
      </c>
      <c r="J34" s="0" t="n">
        <f aca="false">IF(I34&lt;5000000,0,I34)</f>
        <v>0</v>
      </c>
      <c r="K34" s="0" t="n">
        <f aca="false">IF(J34=0,0,ROUND(J34*INDEX(products!$G$2:$G$5,F34)*G34/12,0))</f>
        <v>0</v>
      </c>
    </row>
    <row r="35" customFormat="false" ht="15" hidden="false" customHeight="false" outlineLevel="0" collapsed="false">
      <c r="A35" s="0" t="n">
        <v>5034</v>
      </c>
      <c r="B35" s="0" t="n">
        <v>14500000</v>
      </c>
      <c r="C35" s="0" t="n">
        <v>5500000</v>
      </c>
      <c r="D35" s="0" t="n">
        <v>50000000</v>
      </c>
      <c r="E35" s="0" t="n">
        <v>24</v>
      </c>
      <c r="F35" s="0" t="n">
        <v>2</v>
      </c>
      <c r="G35" s="0" t="n">
        <f aca="false">IF(F35=0,0,MIN(E35,INDEX(products!$F$2:$F$5,F35)))</f>
        <v>24</v>
      </c>
      <c r="H35" s="0" t="n">
        <f aca="false">IF(F35=0,0,(INDEX(products!$H$2:$H$5,F35)*B35-C35)*G35/(1+INDEX(products!$G$2:$G$5,F35)*G35/12))</f>
        <v>18636363.6363636</v>
      </c>
      <c r="I35" s="0" t="n">
        <f aca="false">IF(F35=0,0,ROUNDDOWN(MIN(D35,INDEX(products!$E$2:$E$5,F35),MAX(H35,0)),-6))</f>
        <v>18000000</v>
      </c>
      <c r="J35" s="0" t="n">
        <f aca="false">IF(I35&lt;5000000,0,I35)</f>
        <v>18000000</v>
      </c>
      <c r="K35" s="0" t="n">
        <f aca="false">IF(J35=0,0,ROUND(J35*INDEX(products!$G$2:$G$5,F35)*G35/12,0))</f>
        <v>5760000</v>
      </c>
    </row>
    <row r="36" customFormat="false" ht="15" hidden="false" customHeight="false" outlineLevel="0" collapsed="false">
      <c r="A36" s="0" t="n">
        <v>5035</v>
      </c>
      <c r="B36" s="0" t="n">
        <v>9000000</v>
      </c>
      <c r="C36" s="0" t="n">
        <v>0</v>
      </c>
      <c r="D36" s="0" t="n">
        <v>48000000</v>
      </c>
      <c r="E36" s="0" t="n">
        <v>24</v>
      </c>
      <c r="F36" s="0" t="n">
        <v>4</v>
      </c>
      <c r="G36" s="0" t="n">
        <f aca="false">IF(F36=0,0,MIN(E36,INDEX(products!$F$2:$F$5,F36)))</f>
        <v>12</v>
      </c>
      <c r="H36" s="0" t="n">
        <f aca="false">IF(F36=0,0,(INDEX(products!$H$2:$H$5,F36)*B36-C36)*G36/(1+INDEX(products!$G$2:$G$5,F36)*G36/12))</f>
        <v>29076923.0769231</v>
      </c>
      <c r="I36" s="0" t="n">
        <f aca="false">IF(F36=0,0,ROUNDDOWN(MIN(D36,INDEX(products!$E$2:$E$5,F36),MAX(H36,0)),-6))</f>
        <v>15000000</v>
      </c>
      <c r="J36" s="0" t="n">
        <f aca="false">IF(I36&lt;5000000,0,I36)</f>
        <v>15000000</v>
      </c>
      <c r="K36" s="0" t="n">
        <f aca="false">IF(J36=0,0,ROUND(J36*INDEX(products!$G$2:$G$5,F36)*G36/12,0))</f>
        <v>4500000</v>
      </c>
    </row>
    <row r="37" customFormat="false" ht="15" hidden="false" customHeight="false" outlineLevel="0" collapsed="false">
      <c r="A37" s="0" t="n">
        <v>5036</v>
      </c>
      <c r="B37" s="0" t="n">
        <v>11000000</v>
      </c>
      <c r="C37" s="0" t="n">
        <v>2900000</v>
      </c>
      <c r="D37" s="0" t="n">
        <v>114000000</v>
      </c>
      <c r="E37" s="0" t="n">
        <v>12</v>
      </c>
      <c r="F37" s="0" t="n">
        <v>3</v>
      </c>
      <c r="G37" s="0" t="n">
        <f aca="false">IF(F37=0,0,MIN(E37,INDEX(products!$F$2:$F$5,F37)))</f>
        <v>12</v>
      </c>
      <c r="H37" s="0" t="n">
        <f aca="false">IF(F37=0,0,(INDEX(products!$H$2:$H$5,F37)*B37-C37)*G37/(1+INDEX(products!$G$2:$G$5,F37)*G37/12))</f>
        <v>14516129.0322581</v>
      </c>
      <c r="I37" s="0" t="n">
        <f aca="false">IF(F37=0,0,ROUNDDOWN(MIN(D37,INDEX(products!$E$2:$E$5,F37),MAX(H37,0)),-6))</f>
        <v>14000000</v>
      </c>
      <c r="J37" s="0" t="n">
        <f aca="false">IF(I37&lt;5000000,0,I37)</f>
        <v>14000000</v>
      </c>
      <c r="K37" s="0" t="n">
        <f aca="false">IF(J37=0,0,ROUND(J37*INDEX(products!$G$2:$G$5,F37)*G37/12,0))</f>
        <v>3360000</v>
      </c>
    </row>
    <row r="38" customFormat="false" ht="15" hidden="false" customHeight="false" outlineLevel="0" collapsed="false">
      <c r="A38" s="0" t="n">
        <v>5037</v>
      </c>
      <c r="B38" s="0" t="n">
        <v>10000000</v>
      </c>
      <c r="C38" s="0" t="n">
        <v>1900000</v>
      </c>
      <c r="D38" s="0" t="n">
        <v>65000000</v>
      </c>
      <c r="E38" s="0" t="n">
        <v>12</v>
      </c>
      <c r="F38" s="0" t="n">
        <v>2</v>
      </c>
      <c r="G38" s="0" t="n">
        <f aca="false">IF(F38=0,0,MIN(E38,INDEX(products!$F$2:$F$5,F38)))</f>
        <v>12</v>
      </c>
      <c r="H38" s="0" t="n">
        <f aca="false">IF(F38=0,0,(INDEX(products!$H$2:$H$5,F38)*B38-C38)*G38/(1+INDEX(products!$G$2:$G$5,F38)*G38/12))</f>
        <v>26896551.7241379</v>
      </c>
      <c r="I38" s="0" t="n">
        <f aca="false">IF(F38=0,0,ROUNDDOWN(MIN(D38,INDEX(products!$E$2:$E$5,F38),MAX(H38,0)),-6))</f>
        <v>26000000</v>
      </c>
      <c r="J38" s="0" t="n">
        <f aca="false">IF(I38&lt;5000000,0,I38)</f>
        <v>26000000</v>
      </c>
      <c r="K38" s="0" t="n">
        <f aca="false">IF(J38=0,0,ROUND(J38*INDEX(products!$G$2:$G$5,F38)*G38/12,0))</f>
        <v>4160000</v>
      </c>
    </row>
    <row r="39" customFormat="false" ht="15" hidden="false" customHeight="false" outlineLevel="0" collapsed="false">
      <c r="A39" s="0" t="n">
        <v>5038</v>
      </c>
      <c r="B39" s="0" t="n">
        <v>6500000</v>
      </c>
      <c r="C39" s="0" t="n">
        <v>700000</v>
      </c>
      <c r="D39" s="0" t="n">
        <v>17000000</v>
      </c>
      <c r="E39" s="0" t="n">
        <v>36</v>
      </c>
      <c r="F39" s="0" t="n">
        <v>4</v>
      </c>
      <c r="G39" s="0" t="n">
        <f aca="false">IF(F39=0,0,MIN(E39,INDEX(products!$F$2:$F$5,F39)))</f>
        <v>12</v>
      </c>
      <c r="H39" s="0" t="n">
        <f aca="false">IF(F39=0,0,(INDEX(products!$H$2:$H$5,F39)*B39-C39)*G39/(1+INDEX(products!$G$2:$G$5,F39)*G39/12))</f>
        <v>14538461.5384615</v>
      </c>
      <c r="I39" s="0" t="n">
        <f aca="false">IF(F39=0,0,ROUNDDOWN(MIN(D39,INDEX(products!$E$2:$E$5,F39),MAX(H39,0)),-6))</f>
        <v>14000000</v>
      </c>
      <c r="J39" s="0" t="n">
        <f aca="false">IF(I39&lt;5000000,0,I39)</f>
        <v>14000000</v>
      </c>
      <c r="K39" s="0" t="n">
        <f aca="false">IF(J39=0,0,ROUND(J39*INDEX(products!$G$2:$G$5,F39)*G39/12,0))</f>
        <v>4200000</v>
      </c>
    </row>
    <row r="40" customFormat="false" ht="15" hidden="false" customHeight="false" outlineLevel="0" collapsed="false">
      <c r="A40" s="0" t="n">
        <v>5039</v>
      </c>
      <c r="B40" s="0" t="n">
        <v>9500000</v>
      </c>
      <c r="C40" s="0" t="n">
        <v>0</v>
      </c>
      <c r="D40" s="0" t="n">
        <v>33000000</v>
      </c>
      <c r="E40" s="0" t="n">
        <v>12</v>
      </c>
      <c r="F40" s="0" t="n">
        <v>3</v>
      </c>
      <c r="G40" s="0" t="n">
        <f aca="false">IF(F40=0,0,MIN(E40,INDEX(products!$F$2:$F$5,F40)))</f>
        <v>12</v>
      </c>
      <c r="H40" s="0" t="n">
        <f aca="false">IF(F40=0,0,(INDEX(products!$H$2:$H$5,F40)*B40-C40)*G40/(1+INDEX(products!$G$2:$G$5,F40)*G40/12))</f>
        <v>36774193.5483871</v>
      </c>
      <c r="I40" s="0" t="n">
        <f aca="false">IF(F40=0,0,ROUNDDOWN(MIN(D40,INDEX(products!$E$2:$E$5,F40),MAX(H40,0)),-6))</f>
        <v>33000000</v>
      </c>
      <c r="J40" s="0" t="n">
        <f aca="false">IF(I40&lt;5000000,0,I40)</f>
        <v>33000000</v>
      </c>
      <c r="K40" s="0" t="n">
        <f aca="false">IF(J40=0,0,ROUND(J40*INDEX(products!$G$2:$G$5,F40)*G40/12,0))</f>
        <v>7920000</v>
      </c>
    </row>
    <row r="41" customFormat="false" ht="15" hidden="false" customHeight="false" outlineLevel="0" collapsed="false">
      <c r="A41" s="0" t="n">
        <v>5040</v>
      </c>
      <c r="B41" s="0" t="n">
        <v>7000000</v>
      </c>
      <c r="C41" s="0" t="n">
        <v>0</v>
      </c>
      <c r="D41" s="0" t="n">
        <v>48000000</v>
      </c>
      <c r="E41" s="0" t="n">
        <v>24</v>
      </c>
      <c r="F41" s="0" t="n">
        <v>4</v>
      </c>
      <c r="G41" s="0" t="n">
        <f aca="false">IF(F41=0,0,MIN(E41,INDEX(products!$F$2:$F$5,F41)))</f>
        <v>12</v>
      </c>
      <c r="H41" s="0" t="n">
        <f aca="false">IF(F41=0,0,(INDEX(products!$H$2:$H$5,F41)*B41-C41)*G41/(1+INDEX(products!$G$2:$G$5,F41)*G41/12))</f>
        <v>22615384.6153846</v>
      </c>
      <c r="I41" s="0" t="n">
        <f aca="false">IF(F41=0,0,ROUNDDOWN(MIN(D41,INDEX(products!$E$2:$E$5,F41),MAX(H41,0)),-6))</f>
        <v>15000000</v>
      </c>
      <c r="J41" s="0" t="n">
        <f aca="false">IF(I41&lt;5000000,0,I41)</f>
        <v>15000000</v>
      </c>
      <c r="K41" s="0" t="n">
        <f aca="false">IF(J41=0,0,ROUND(J41*INDEX(products!$G$2:$G$5,F41)*G41/12,0))</f>
        <v>4500000</v>
      </c>
    </row>
    <row r="42" customFormat="false" ht="15" hidden="false" customHeight="false" outlineLevel="0" collapsed="false">
      <c r="A42" s="0" t="n">
        <v>5041</v>
      </c>
      <c r="B42" s="0" t="n">
        <v>12000000</v>
      </c>
      <c r="C42" s="0" t="n">
        <v>4000000</v>
      </c>
      <c r="D42" s="0" t="n">
        <v>124000000</v>
      </c>
      <c r="E42" s="0" t="n">
        <v>6</v>
      </c>
      <c r="F42" s="0" t="n">
        <v>2</v>
      </c>
      <c r="G42" s="0" t="n">
        <f aca="false">IF(F42=0,0,MIN(E42,INDEX(products!$F$2:$F$5,F42)))</f>
        <v>6</v>
      </c>
      <c r="H42" s="0" t="n">
        <f aca="false">IF(F42=0,0,(INDEX(products!$H$2:$H$5,F42)*B42-C42)*G42/(1+INDEX(products!$G$2:$G$5,F42)*G42/12))</f>
        <v>7777777.77777778</v>
      </c>
      <c r="I42" s="0" t="n">
        <f aca="false">IF(F42=0,0,ROUNDDOWN(MIN(D42,INDEX(products!$E$2:$E$5,F42),MAX(H42,0)),-6))</f>
        <v>7000000</v>
      </c>
      <c r="J42" s="0" t="n">
        <f aca="false">IF(I42&lt;5000000,0,I42)</f>
        <v>7000000</v>
      </c>
      <c r="K42" s="0" t="n">
        <f aca="false">IF(J42=0,0,ROUND(J42*INDEX(products!$G$2:$G$5,F42)*G42/12,0))</f>
        <v>560000</v>
      </c>
    </row>
    <row r="43" customFormat="false" ht="15" hidden="false" customHeight="false" outlineLevel="0" collapsed="false">
      <c r="A43" s="0" t="n">
        <v>5042</v>
      </c>
      <c r="B43" s="0" t="n">
        <v>38000000</v>
      </c>
      <c r="C43" s="0" t="n">
        <v>0</v>
      </c>
      <c r="D43" s="0" t="n">
        <v>200000000</v>
      </c>
      <c r="E43" s="0" t="n">
        <v>36</v>
      </c>
      <c r="F43" s="0" t="n">
        <v>3</v>
      </c>
      <c r="G43" s="0" t="n">
        <f aca="false">IF(F43=0,0,MIN(E43,INDEX(products!$F$2:$F$5,F43)))</f>
        <v>24</v>
      </c>
      <c r="H43" s="0" t="n">
        <f aca="false">IF(F43=0,0,(INDEX(products!$H$2:$H$5,F43)*B43-C43)*G43/(1+INDEX(products!$G$2:$G$5,F43)*G43/12))</f>
        <v>246486486.486487</v>
      </c>
      <c r="I43" s="0" t="n">
        <f aca="false">IF(F43=0,0,ROUNDDOWN(MIN(D43,INDEX(products!$E$2:$E$5,F43),MAX(H43,0)),-6))</f>
        <v>50000000</v>
      </c>
      <c r="J43" s="0" t="n">
        <f aca="false">IF(I43&lt;5000000,0,I43)</f>
        <v>50000000</v>
      </c>
      <c r="K43" s="0" t="n">
        <f aca="false">IF(J43=0,0,ROUND(J43*INDEX(products!$G$2:$G$5,F43)*G43/12,0))</f>
        <v>24000000</v>
      </c>
    </row>
    <row r="44" customFormat="false" ht="15" hidden="false" customHeight="false" outlineLevel="0" collapsed="false">
      <c r="A44" s="0" t="n">
        <v>5043</v>
      </c>
      <c r="B44" s="0" t="n">
        <v>17000000</v>
      </c>
      <c r="C44" s="0" t="n">
        <v>1400000</v>
      </c>
      <c r="D44" s="0" t="n">
        <v>77000000</v>
      </c>
      <c r="E44" s="0" t="n">
        <v>6</v>
      </c>
      <c r="F44" s="0" t="n">
        <v>4</v>
      </c>
      <c r="G44" s="0" t="n">
        <f aca="false">IF(F44=0,0,MIN(E44,INDEX(products!$F$2:$F$5,F44)))</f>
        <v>6</v>
      </c>
      <c r="H44" s="0" t="n">
        <f aca="false">IF(F44=0,0,(INDEX(products!$H$2:$H$5,F44)*B44-C44)*G44/(1+INDEX(products!$G$2:$G$5,F44)*G44/12))</f>
        <v>23739130.4347826</v>
      </c>
      <c r="I44" s="0" t="n">
        <f aca="false">IF(F44=0,0,ROUNDDOWN(MIN(D44,INDEX(products!$E$2:$E$5,F44),MAX(H44,0)),-6))</f>
        <v>15000000</v>
      </c>
      <c r="J44" s="0" t="n">
        <f aca="false">IF(I44&lt;5000000,0,I44)</f>
        <v>15000000</v>
      </c>
      <c r="K44" s="0" t="n">
        <f aca="false">IF(J44=0,0,ROUND(J44*INDEX(products!$G$2:$G$5,F44)*G44/12,0))</f>
        <v>2250000</v>
      </c>
    </row>
    <row r="45" customFormat="false" ht="15" hidden="false" customHeight="false" outlineLevel="0" collapsed="false">
      <c r="A45" s="0" t="n">
        <v>5044</v>
      </c>
      <c r="B45" s="0" t="n">
        <v>23000000</v>
      </c>
      <c r="C45" s="0" t="n">
        <v>8400000</v>
      </c>
      <c r="D45" s="0" t="n">
        <v>200000000</v>
      </c>
      <c r="E45" s="0" t="n">
        <v>24</v>
      </c>
      <c r="F45" s="0" t="n">
        <v>3</v>
      </c>
      <c r="G45" s="0" t="n">
        <f aca="false">IF(F45=0,0,MIN(E45,INDEX(products!$F$2:$F$5,F45)))</f>
        <v>24</v>
      </c>
      <c r="H45" s="0" t="n">
        <f aca="false">IF(F45=0,0,(INDEX(products!$H$2:$H$5,F45)*B45-C45)*G45/(1+INDEX(products!$G$2:$G$5,F45)*G45/12))</f>
        <v>12972972.972973</v>
      </c>
      <c r="I45" s="0" t="n">
        <f aca="false">IF(F45=0,0,ROUNDDOWN(MIN(D45,INDEX(products!$E$2:$E$5,F45),MAX(H45,0)),-6))</f>
        <v>12000000</v>
      </c>
      <c r="J45" s="0" t="n">
        <f aca="false">IF(I45&lt;5000000,0,I45)</f>
        <v>12000000</v>
      </c>
      <c r="K45" s="0" t="n">
        <f aca="false">IF(J45=0,0,ROUND(J45*INDEX(products!$G$2:$G$5,F45)*G45/12,0))</f>
        <v>5760000</v>
      </c>
    </row>
    <row r="46" customFormat="false" ht="15" hidden="false" customHeight="false" outlineLevel="0" collapsed="false">
      <c r="A46" s="0" t="n">
        <v>5045</v>
      </c>
      <c r="B46" s="0" t="n">
        <v>14000000</v>
      </c>
      <c r="C46" s="0" t="n">
        <v>5300000</v>
      </c>
      <c r="D46" s="0" t="n">
        <v>52000000</v>
      </c>
      <c r="E46" s="0" t="n">
        <v>6</v>
      </c>
      <c r="F46" s="0" t="n">
        <v>2</v>
      </c>
      <c r="G46" s="0" t="n">
        <f aca="false">IF(F46=0,0,MIN(E46,INDEX(products!$F$2:$F$5,F46)))</f>
        <v>6</v>
      </c>
      <c r="H46" s="0" t="n">
        <f aca="false">IF(F46=0,0,(INDEX(products!$H$2:$H$5,F46)*B46-C46)*G46/(1+INDEX(products!$G$2:$G$5,F46)*G46/12))</f>
        <v>5555555.55555556</v>
      </c>
      <c r="I46" s="0" t="n">
        <f aca="false">IF(F46=0,0,ROUNDDOWN(MIN(D46,INDEX(products!$E$2:$E$5,F46),MAX(H46,0)),-6))</f>
        <v>5000000</v>
      </c>
      <c r="J46" s="0" t="n">
        <f aca="false">IF(I46&lt;5000000,0,I46)</f>
        <v>5000000</v>
      </c>
      <c r="K46" s="0" t="n">
        <f aca="false">IF(J46=0,0,ROUND(J46*INDEX(products!$G$2:$G$5,F46)*G46/12,0))</f>
        <v>400000</v>
      </c>
    </row>
    <row r="47" customFormat="false" ht="15" hidden="false" customHeight="false" outlineLevel="0" collapsed="false">
      <c r="A47" s="0" t="n">
        <v>5046</v>
      </c>
      <c r="B47" s="0" t="n">
        <v>7000000</v>
      </c>
      <c r="C47" s="0" t="n">
        <v>1100000</v>
      </c>
      <c r="D47" s="0" t="n">
        <v>70000000</v>
      </c>
      <c r="E47" s="0" t="n">
        <v>18</v>
      </c>
      <c r="F47" s="0" t="n">
        <v>3</v>
      </c>
      <c r="G47" s="0" t="n">
        <f aca="false">IF(F47=0,0,MIN(E47,INDEX(products!$F$2:$F$5,F47)))</f>
        <v>18</v>
      </c>
      <c r="H47" s="0" t="n">
        <f aca="false">IF(F47=0,0,(INDEX(products!$H$2:$H$5,F47)*B47-C47)*G47/(1+INDEX(products!$G$2:$G$5,F47)*G47/12))</f>
        <v>22500000</v>
      </c>
      <c r="I47" s="0" t="n">
        <f aca="false">IF(F47=0,0,ROUNDDOWN(MIN(D47,INDEX(products!$E$2:$E$5,F47),MAX(H47,0)),-6))</f>
        <v>22000000</v>
      </c>
      <c r="J47" s="0" t="n">
        <f aca="false">IF(I47&lt;5000000,0,I47)</f>
        <v>22000000</v>
      </c>
      <c r="K47" s="0" t="n">
        <f aca="false">IF(J47=0,0,ROUND(J47*INDEX(products!$G$2:$G$5,F47)*G47/12,0))</f>
        <v>7920000</v>
      </c>
    </row>
    <row r="48" customFormat="false" ht="15" hidden="false" customHeight="false" outlineLevel="0" collapsed="false">
      <c r="A48" s="0" t="n">
        <v>5047</v>
      </c>
      <c r="B48" s="0" t="n">
        <v>13000000</v>
      </c>
      <c r="C48" s="0" t="n">
        <v>0</v>
      </c>
      <c r="D48" s="0" t="n">
        <v>99000000</v>
      </c>
      <c r="E48" s="0" t="n">
        <v>36</v>
      </c>
      <c r="F48" s="0" t="n">
        <v>3</v>
      </c>
      <c r="G48" s="0" t="n">
        <f aca="false">IF(F48=0,0,MIN(E48,INDEX(products!$F$2:$F$5,F48)))</f>
        <v>24</v>
      </c>
      <c r="H48" s="0" t="n">
        <f aca="false">IF(F48=0,0,(INDEX(products!$H$2:$H$5,F48)*B48-C48)*G48/(1+INDEX(products!$G$2:$G$5,F48)*G48/12))</f>
        <v>84324324.3243243</v>
      </c>
      <c r="I48" s="0" t="n">
        <f aca="false">IF(F48=0,0,ROUNDDOWN(MIN(D48,INDEX(products!$E$2:$E$5,F48),MAX(H48,0)),-6))</f>
        <v>50000000</v>
      </c>
      <c r="J48" s="0" t="n">
        <f aca="false">IF(I48&lt;5000000,0,I48)</f>
        <v>50000000</v>
      </c>
      <c r="K48" s="0" t="n">
        <f aca="false">IF(J48=0,0,ROUND(J48*INDEX(products!$G$2:$G$5,F48)*G48/12,0))</f>
        <v>24000000</v>
      </c>
    </row>
    <row r="49" customFormat="false" ht="15" hidden="false" customHeight="false" outlineLevel="0" collapsed="false">
      <c r="A49" s="0" t="n">
        <v>5048</v>
      </c>
      <c r="B49" s="0" t="n">
        <v>17500000</v>
      </c>
      <c r="C49" s="0" t="n">
        <v>3000000</v>
      </c>
      <c r="D49" s="0" t="n">
        <v>72000000</v>
      </c>
      <c r="E49" s="0" t="n">
        <v>12</v>
      </c>
      <c r="F49" s="0" t="n">
        <v>3</v>
      </c>
      <c r="G49" s="0" t="n">
        <f aca="false">IF(F49=0,0,MIN(E49,INDEX(products!$F$2:$F$5,F49)))</f>
        <v>12</v>
      </c>
      <c r="H49" s="0" t="n">
        <f aca="false">IF(F49=0,0,(INDEX(products!$H$2:$H$5,F49)*B49-C49)*G49/(1+INDEX(products!$G$2:$G$5,F49)*G49/12))</f>
        <v>38709677.4193548</v>
      </c>
      <c r="I49" s="0" t="n">
        <f aca="false">IF(F49=0,0,ROUNDDOWN(MIN(D49,INDEX(products!$E$2:$E$5,F49),MAX(H49,0)),-6))</f>
        <v>38000000</v>
      </c>
      <c r="J49" s="0" t="n">
        <f aca="false">IF(I49&lt;5000000,0,I49)</f>
        <v>38000000</v>
      </c>
      <c r="K49" s="0" t="n">
        <f aca="false">IF(J49=0,0,ROUND(J49*INDEX(products!$G$2:$G$5,F49)*G49/12,0))</f>
        <v>9120000</v>
      </c>
    </row>
    <row r="50" customFormat="false" ht="15" hidden="false" customHeight="false" outlineLevel="0" collapsed="false">
      <c r="A50" s="0" t="n">
        <v>5049</v>
      </c>
      <c r="B50" s="0" t="n">
        <v>19500000</v>
      </c>
      <c r="C50" s="0" t="n">
        <v>3800000</v>
      </c>
      <c r="D50" s="0" t="n">
        <v>200000000</v>
      </c>
      <c r="E50" s="0" t="n">
        <v>6</v>
      </c>
      <c r="F50" s="0" t="n">
        <v>3</v>
      </c>
      <c r="G50" s="0" t="n">
        <f aca="false">IF(F50=0,0,MIN(E50,INDEX(products!$F$2:$F$5,F50)))</f>
        <v>6</v>
      </c>
      <c r="H50" s="0" t="n">
        <f aca="false">IF(F50=0,0,(INDEX(products!$H$2:$H$5,F50)*B50-C50)*G50/(1+INDEX(products!$G$2:$G$5,F50)*G50/12))</f>
        <v>21428571.4285714</v>
      </c>
      <c r="I50" s="0" t="n">
        <f aca="false">IF(F50=0,0,ROUNDDOWN(MIN(D50,INDEX(products!$E$2:$E$5,F50),MAX(H50,0)),-6))</f>
        <v>21000000</v>
      </c>
      <c r="J50" s="0" t="n">
        <f aca="false">IF(I50&lt;5000000,0,I50)</f>
        <v>21000000</v>
      </c>
      <c r="K50" s="0" t="n">
        <f aca="false">IF(J50=0,0,ROUND(J50*INDEX(products!$G$2:$G$5,F50)*G50/12,0))</f>
        <v>2520000</v>
      </c>
    </row>
    <row r="51" customFormat="false" ht="15" hidden="false" customHeight="false" outlineLevel="0" collapsed="false">
      <c r="A51" s="0" t="n">
        <v>5050</v>
      </c>
      <c r="B51" s="0" t="n">
        <v>12000000</v>
      </c>
      <c r="C51" s="0" t="n">
        <v>2000000</v>
      </c>
      <c r="D51" s="0" t="n">
        <v>106000000</v>
      </c>
      <c r="E51" s="0" t="n">
        <v>24</v>
      </c>
      <c r="F51" s="0" t="n">
        <v>2</v>
      </c>
      <c r="G51" s="0" t="n">
        <f aca="false">IF(F51=0,0,MIN(E51,INDEX(products!$F$2:$F$5,F51)))</f>
        <v>24</v>
      </c>
      <c r="H51" s="0" t="n">
        <f aca="false">IF(F51=0,0,(INDEX(products!$H$2:$H$5,F51)*B51-C51)*G51/(1+INDEX(products!$G$2:$G$5,F51)*G51/12))</f>
        <v>61818181.8181818</v>
      </c>
      <c r="I51" s="0" t="n">
        <f aca="false">IF(F51=0,0,ROUNDDOWN(MIN(D51,INDEX(products!$E$2:$E$5,F51),MAX(H51,0)),-6))</f>
        <v>61000000</v>
      </c>
      <c r="J51" s="0" t="n">
        <f aca="false">IF(I51&lt;5000000,0,I51)</f>
        <v>61000000</v>
      </c>
      <c r="K51" s="0" t="n">
        <f aca="false">IF(J51=0,0,ROUND(J51*INDEX(products!$G$2:$G$5,F51)*G51/12,0))</f>
        <v>19520000</v>
      </c>
    </row>
    <row r="52" customFormat="false" ht="15" hidden="false" customHeight="false" outlineLevel="0" collapsed="false">
      <c r="A52" s="0" t="n">
        <v>5051</v>
      </c>
      <c r="B52" s="0" t="n">
        <v>15000000</v>
      </c>
      <c r="C52" s="0" t="n">
        <v>2700000</v>
      </c>
      <c r="D52" s="0" t="n">
        <v>58000000</v>
      </c>
      <c r="E52" s="0" t="n">
        <v>24</v>
      </c>
      <c r="F52" s="0" t="n">
        <v>1</v>
      </c>
      <c r="G52" s="0" t="n">
        <f aca="false">IF(F52=0,0,MIN(E52,INDEX(products!$F$2:$F$5,F52)))</f>
        <v>24</v>
      </c>
      <c r="H52" s="0" t="n">
        <f aca="false">IF(F52=0,0,(INDEX(products!$H$2:$H$5,F52)*B52-C52)*G52/(1+INDEX(products!$G$2:$G$5,F52)*G52/12))</f>
        <v>96000000</v>
      </c>
      <c r="I52" s="0" t="n">
        <f aca="false">IF(F52=0,0,ROUNDDOWN(MIN(D52,INDEX(products!$E$2:$E$5,F52),MAX(H52,0)),-6))</f>
        <v>58000000</v>
      </c>
      <c r="J52" s="0" t="n">
        <f aca="false">IF(I52&lt;5000000,0,I52)</f>
        <v>58000000</v>
      </c>
      <c r="K52" s="0" t="n">
        <f aca="false">IF(J52=0,0,ROUND(J52*INDEX(products!$G$2:$G$5,F52)*G52/12,0))</f>
        <v>11600000</v>
      </c>
    </row>
    <row r="53" customFormat="false" ht="15" hidden="false" customHeight="false" outlineLevel="0" collapsed="false">
      <c r="A53" s="0" t="n">
        <v>5052</v>
      </c>
      <c r="B53" s="0" t="n">
        <v>5000000</v>
      </c>
      <c r="C53" s="0" t="n">
        <v>0</v>
      </c>
      <c r="D53" s="0" t="n">
        <v>13000000</v>
      </c>
      <c r="E53" s="0" t="n">
        <v>6</v>
      </c>
      <c r="F53" s="0" t="n">
        <v>4</v>
      </c>
      <c r="G53" s="0" t="n">
        <f aca="false">IF(F53=0,0,MIN(E53,INDEX(products!$F$2:$F$5,F53)))</f>
        <v>6</v>
      </c>
      <c r="H53" s="0" t="n">
        <f aca="false">IF(F53=0,0,(INDEX(products!$H$2:$H$5,F53)*B53-C53)*G53/(1+INDEX(products!$G$2:$G$5,F53)*G53/12))</f>
        <v>9130434.7826087</v>
      </c>
      <c r="I53" s="0" t="n">
        <f aca="false">IF(F53=0,0,ROUNDDOWN(MIN(D53,INDEX(products!$E$2:$E$5,F53),MAX(H53,0)),-6))</f>
        <v>9000000</v>
      </c>
      <c r="J53" s="0" t="n">
        <f aca="false">IF(I53&lt;5000000,0,I53)</f>
        <v>9000000</v>
      </c>
      <c r="K53" s="0" t="n">
        <f aca="false">IF(J53=0,0,ROUND(J53*INDEX(products!$G$2:$G$5,F53)*G53/12,0))</f>
        <v>1350000</v>
      </c>
    </row>
    <row r="54" customFormat="false" ht="15" hidden="false" customHeight="false" outlineLevel="0" collapsed="false">
      <c r="A54" s="0" t="n">
        <v>5053</v>
      </c>
      <c r="B54" s="0" t="n">
        <v>43500000</v>
      </c>
      <c r="C54" s="0" t="n">
        <v>7600000</v>
      </c>
      <c r="D54" s="0" t="n">
        <v>200000000</v>
      </c>
      <c r="E54" s="0" t="n">
        <v>24</v>
      </c>
      <c r="F54" s="0" t="n">
        <v>0</v>
      </c>
      <c r="G54" s="0" t="n">
        <f aca="false">IF(F54=0,0,MIN(E54,INDEX(products!$F$2:$F$5,F54)))</f>
        <v>0</v>
      </c>
      <c r="H54" s="0" t="n">
        <f aca="false">IF(F54=0,0,(INDEX(products!$H$2:$H$5,F54)*B54-C54)*G54/(1+INDEX(products!$G$2:$G$5,F54)*G54/12))</f>
        <v>0</v>
      </c>
      <c r="I54" s="0" t="n">
        <f aca="false">IF(F54=0,0,ROUNDDOWN(MIN(D54,INDEX(products!$E$2:$E$5,F54),MAX(H54,0)),-6))</f>
        <v>0</v>
      </c>
      <c r="J54" s="0" t="n">
        <f aca="false">IF(I54&lt;5000000,0,I54)</f>
        <v>0</v>
      </c>
      <c r="K54" s="0" t="n">
        <f aca="false">IF(J54=0,0,ROUND(J54*INDEX(products!$G$2:$G$5,F54)*G54/12,0))</f>
        <v>0</v>
      </c>
    </row>
    <row r="55" customFormat="false" ht="15" hidden="false" customHeight="false" outlineLevel="0" collapsed="false">
      <c r="A55" s="0" t="n">
        <v>5054</v>
      </c>
      <c r="B55" s="0" t="n">
        <v>7500000</v>
      </c>
      <c r="C55" s="0" t="n">
        <v>1000000</v>
      </c>
      <c r="D55" s="0" t="n">
        <v>27000000</v>
      </c>
      <c r="E55" s="0" t="n">
        <v>36</v>
      </c>
      <c r="F55" s="0" t="n">
        <v>0</v>
      </c>
      <c r="G55" s="0" t="n">
        <f aca="false">IF(F55=0,0,MIN(E55,INDEX(products!$F$2:$F$5,F55)))</f>
        <v>0</v>
      </c>
      <c r="H55" s="0" t="n">
        <f aca="false">IF(F55=0,0,(INDEX(products!$H$2:$H$5,F55)*B55-C55)*G55/(1+INDEX(products!$G$2:$G$5,F55)*G55/12))</f>
        <v>0</v>
      </c>
      <c r="I55" s="0" t="n">
        <f aca="false">IF(F55=0,0,ROUNDDOWN(MIN(D55,INDEX(products!$E$2:$E$5,F55),MAX(H55,0)),-6))</f>
        <v>0</v>
      </c>
      <c r="J55" s="0" t="n">
        <f aca="false">IF(I55&lt;5000000,0,I55)</f>
        <v>0</v>
      </c>
      <c r="K55" s="0" t="n">
        <f aca="false">IF(J55=0,0,ROUND(J55*INDEX(products!$G$2:$G$5,F55)*G55/12,0))</f>
        <v>0</v>
      </c>
    </row>
    <row r="56" customFormat="false" ht="15" hidden="false" customHeight="false" outlineLevel="0" collapsed="false">
      <c r="A56" s="0" t="n">
        <v>5055</v>
      </c>
      <c r="B56" s="0" t="n">
        <v>21000000</v>
      </c>
      <c r="C56" s="0" t="n">
        <v>3600000</v>
      </c>
      <c r="D56" s="0" t="n">
        <v>134000000</v>
      </c>
      <c r="E56" s="0" t="n">
        <v>24</v>
      </c>
      <c r="F56" s="0" t="n">
        <v>4</v>
      </c>
      <c r="G56" s="0" t="n">
        <f aca="false">IF(F56=0,0,MIN(E56,INDEX(products!$F$2:$F$5,F56)))</f>
        <v>12</v>
      </c>
      <c r="H56" s="0" t="n">
        <f aca="false">IF(F56=0,0,(INDEX(products!$H$2:$H$5,F56)*B56-C56)*G56/(1+INDEX(products!$G$2:$G$5,F56)*G56/12))</f>
        <v>34615384.6153846</v>
      </c>
      <c r="I56" s="0" t="n">
        <f aca="false">IF(F56=0,0,ROUNDDOWN(MIN(D56,INDEX(products!$E$2:$E$5,F56),MAX(H56,0)),-6))</f>
        <v>15000000</v>
      </c>
      <c r="J56" s="0" t="n">
        <f aca="false">IF(I56&lt;5000000,0,I56)</f>
        <v>15000000</v>
      </c>
      <c r="K56" s="0" t="n">
        <f aca="false">IF(J56=0,0,ROUND(J56*INDEX(products!$G$2:$G$5,F56)*G56/12,0))</f>
        <v>4500000</v>
      </c>
    </row>
    <row r="57" customFormat="false" ht="15" hidden="false" customHeight="false" outlineLevel="0" collapsed="false">
      <c r="A57" s="0" t="n">
        <v>5056</v>
      </c>
      <c r="B57" s="0" t="n">
        <v>11500000</v>
      </c>
      <c r="C57" s="0" t="n">
        <v>0</v>
      </c>
      <c r="D57" s="0" t="n">
        <v>60000000</v>
      </c>
      <c r="E57" s="0" t="n">
        <v>48</v>
      </c>
      <c r="F57" s="0" t="n">
        <v>3</v>
      </c>
      <c r="G57" s="0" t="n">
        <f aca="false">IF(F57=0,0,MIN(E57,INDEX(products!$F$2:$F$5,F57)))</f>
        <v>24</v>
      </c>
      <c r="H57" s="0" t="n">
        <f aca="false">IF(F57=0,0,(INDEX(products!$H$2:$H$5,F57)*B57-C57)*G57/(1+INDEX(products!$G$2:$G$5,F57)*G57/12))</f>
        <v>74594594.5945946</v>
      </c>
      <c r="I57" s="0" t="n">
        <f aca="false">IF(F57=0,0,ROUNDDOWN(MIN(D57,INDEX(products!$E$2:$E$5,F57),MAX(H57,0)),-6))</f>
        <v>50000000</v>
      </c>
      <c r="J57" s="0" t="n">
        <f aca="false">IF(I57&lt;5000000,0,I57)</f>
        <v>50000000</v>
      </c>
      <c r="K57" s="0" t="n">
        <f aca="false">IF(J57=0,0,ROUND(J57*INDEX(products!$G$2:$G$5,F57)*G57/12,0))</f>
        <v>24000000</v>
      </c>
    </row>
    <row r="58" customFormat="false" ht="15" hidden="false" customHeight="false" outlineLevel="0" collapsed="false">
      <c r="A58" s="0" t="n">
        <v>5057</v>
      </c>
      <c r="B58" s="0" t="n">
        <v>7000000</v>
      </c>
      <c r="C58" s="0" t="n">
        <v>400000</v>
      </c>
      <c r="D58" s="0" t="n">
        <v>52000000</v>
      </c>
      <c r="E58" s="0" t="n">
        <v>48</v>
      </c>
      <c r="F58" s="0" t="n">
        <v>3</v>
      </c>
      <c r="G58" s="0" t="n">
        <f aca="false">IF(F58=0,0,MIN(E58,INDEX(products!$F$2:$F$5,F58)))</f>
        <v>24</v>
      </c>
      <c r="H58" s="0" t="n">
        <f aca="false">IF(F58=0,0,(INDEX(products!$H$2:$H$5,F58)*B58-C58)*G58/(1+INDEX(products!$G$2:$G$5,F58)*G58/12))</f>
        <v>38918918.9189189</v>
      </c>
      <c r="I58" s="0" t="n">
        <f aca="false">IF(F58=0,0,ROUNDDOWN(MIN(D58,INDEX(products!$E$2:$E$5,F58),MAX(H58,0)),-6))</f>
        <v>38000000</v>
      </c>
      <c r="J58" s="0" t="n">
        <f aca="false">IF(I58&lt;5000000,0,I58)</f>
        <v>38000000</v>
      </c>
      <c r="K58" s="0" t="n">
        <f aca="false">IF(J58=0,0,ROUND(J58*INDEX(products!$G$2:$G$5,F58)*G58/12,0))</f>
        <v>18240000</v>
      </c>
    </row>
    <row r="59" customFormat="false" ht="15" hidden="false" customHeight="false" outlineLevel="0" collapsed="false">
      <c r="A59" s="0" t="n">
        <v>5058</v>
      </c>
      <c r="B59" s="0" t="n">
        <v>17000000</v>
      </c>
      <c r="C59" s="0" t="n">
        <v>1300000</v>
      </c>
      <c r="D59" s="0" t="n">
        <v>47000000</v>
      </c>
      <c r="E59" s="0" t="n">
        <v>36</v>
      </c>
      <c r="F59" s="0" t="n">
        <v>1</v>
      </c>
      <c r="G59" s="0" t="n">
        <f aca="false">IF(F59=0,0,MIN(E59,INDEX(products!$F$2:$F$5,F59)))</f>
        <v>36</v>
      </c>
      <c r="H59" s="0" t="n">
        <f aca="false">IF(F59=0,0,(INDEX(products!$H$2:$H$5,F59)*B59-C59)*G59/(1+INDEX(products!$G$2:$G$5,F59)*G59/12))</f>
        <v>199384615.384615</v>
      </c>
      <c r="I59" s="0" t="n">
        <f aca="false">IF(F59=0,0,ROUNDDOWN(MIN(D59,INDEX(products!$E$2:$E$5,F59),MAX(H59,0)),-6))</f>
        <v>47000000</v>
      </c>
      <c r="J59" s="0" t="n">
        <f aca="false">IF(I59&lt;5000000,0,I59)</f>
        <v>47000000</v>
      </c>
      <c r="K59" s="0" t="n">
        <f aca="false">IF(J59=0,0,ROUND(J59*INDEX(products!$G$2:$G$5,F59)*G59/12,0))</f>
        <v>14100000</v>
      </c>
    </row>
    <row r="60" customFormat="false" ht="15" hidden="false" customHeight="false" outlineLevel="0" collapsed="false">
      <c r="A60" s="0" t="n">
        <v>5059</v>
      </c>
      <c r="B60" s="0" t="n">
        <v>8500000</v>
      </c>
      <c r="C60" s="0" t="n">
        <v>3300000</v>
      </c>
      <c r="D60" s="0" t="n">
        <v>75000000</v>
      </c>
      <c r="E60" s="0" t="n">
        <v>48</v>
      </c>
      <c r="F60" s="0" t="n">
        <v>0</v>
      </c>
      <c r="G60" s="0" t="n">
        <f aca="false">IF(F60=0,0,MIN(E60,INDEX(products!$F$2:$F$5,F60)))</f>
        <v>0</v>
      </c>
      <c r="H60" s="0" t="n">
        <f aca="false">IF(F60=0,0,(INDEX(products!$H$2:$H$5,F60)*B60-C60)*G60/(1+INDEX(products!$G$2:$G$5,F60)*G60/12))</f>
        <v>0</v>
      </c>
      <c r="I60" s="0" t="n">
        <f aca="false">IF(F60=0,0,ROUNDDOWN(MIN(D60,INDEX(products!$E$2:$E$5,F60),MAX(H60,0)),-6))</f>
        <v>0</v>
      </c>
      <c r="J60" s="0" t="n">
        <f aca="false">IF(I60&lt;5000000,0,I60)</f>
        <v>0</v>
      </c>
      <c r="K60" s="0" t="n">
        <f aca="false">IF(J60=0,0,ROUND(J60*INDEX(products!$G$2:$G$5,F60)*G60/12,0))</f>
        <v>0</v>
      </c>
    </row>
    <row r="61" customFormat="false" ht="15" hidden="false" customHeight="false" outlineLevel="0" collapsed="false">
      <c r="A61" s="0" t="n">
        <v>5060</v>
      </c>
      <c r="B61" s="0" t="n">
        <v>20000000</v>
      </c>
      <c r="C61" s="0" t="n">
        <v>0</v>
      </c>
      <c r="D61" s="0" t="n">
        <v>145000000</v>
      </c>
      <c r="E61" s="0" t="n">
        <v>12</v>
      </c>
      <c r="F61" s="0" t="n">
        <v>1</v>
      </c>
      <c r="G61" s="0" t="n">
        <f aca="false">IF(F61=0,0,MIN(E61,INDEX(products!$F$2:$F$5,F61)))</f>
        <v>12</v>
      </c>
      <c r="H61" s="0" t="n">
        <f aca="false">IF(F61=0,0,(INDEX(products!$H$2:$H$5,F61)*B61-C61)*G61/(1+INDEX(products!$G$2:$G$5,F61)*G61/12))</f>
        <v>109090909.090909</v>
      </c>
      <c r="I61" s="0" t="n">
        <f aca="false">IF(F61=0,0,ROUNDDOWN(MIN(D61,INDEX(products!$E$2:$E$5,F61),MAX(H61,0)),-6))</f>
        <v>109000000</v>
      </c>
      <c r="J61" s="0" t="n">
        <f aca="false">IF(I61&lt;5000000,0,I61)</f>
        <v>109000000</v>
      </c>
      <c r="K61" s="0" t="n">
        <f aca="false">IF(J61=0,0,ROUND(J61*INDEX(products!$G$2:$G$5,F61)*G61/12,0))</f>
        <v>10900000</v>
      </c>
    </row>
    <row r="62" customFormat="false" ht="15" hidden="false" customHeight="false" outlineLevel="0" collapsed="false">
      <c r="A62" s="0" t="n">
        <v>5061</v>
      </c>
      <c r="B62" s="0" t="n">
        <v>12000000</v>
      </c>
      <c r="C62" s="0" t="n">
        <v>1300000</v>
      </c>
      <c r="D62" s="0" t="n">
        <v>49000000</v>
      </c>
      <c r="E62" s="0" t="n">
        <v>12</v>
      </c>
      <c r="F62" s="0" t="n">
        <v>2</v>
      </c>
      <c r="G62" s="0" t="n">
        <f aca="false">IF(F62=0,0,MIN(E62,INDEX(products!$F$2:$F$5,F62)))</f>
        <v>12</v>
      </c>
      <c r="H62" s="0" t="n">
        <f aca="false">IF(F62=0,0,(INDEX(products!$H$2:$H$5,F62)*B62-C62)*G62/(1+INDEX(products!$G$2:$G$5,F62)*G62/12))</f>
        <v>42413793.1034483</v>
      </c>
      <c r="I62" s="0" t="n">
        <f aca="false">IF(F62=0,0,ROUNDDOWN(MIN(D62,INDEX(products!$E$2:$E$5,F62),MAX(H62,0)),-6))</f>
        <v>42000000</v>
      </c>
      <c r="J62" s="0" t="n">
        <f aca="false">IF(I62&lt;5000000,0,I62)</f>
        <v>42000000</v>
      </c>
      <c r="K62" s="0" t="n">
        <f aca="false">IF(J62=0,0,ROUND(J62*INDEX(products!$G$2:$G$5,F62)*G62/12,0))</f>
        <v>6720000</v>
      </c>
    </row>
    <row r="63" customFormat="false" ht="15" hidden="false" customHeight="false" outlineLevel="0" collapsed="false">
      <c r="A63" s="0" t="n">
        <v>5062</v>
      </c>
      <c r="B63" s="0" t="n">
        <v>11500000</v>
      </c>
      <c r="C63" s="0" t="n">
        <v>0</v>
      </c>
      <c r="D63" s="0" t="n">
        <v>120000000</v>
      </c>
      <c r="E63" s="0" t="n">
        <v>12</v>
      </c>
      <c r="F63" s="0" t="n">
        <v>2</v>
      </c>
      <c r="G63" s="0" t="n">
        <f aca="false">IF(F63=0,0,MIN(E63,INDEX(products!$F$2:$F$5,F63)))</f>
        <v>12</v>
      </c>
      <c r="H63" s="0" t="n">
        <f aca="false">IF(F63=0,0,(INDEX(products!$H$2:$H$5,F63)*B63-C63)*G63/(1+INDEX(products!$G$2:$G$5,F63)*G63/12))</f>
        <v>53534482.7586207</v>
      </c>
      <c r="I63" s="0" t="n">
        <f aca="false">IF(F63=0,0,ROUNDDOWN(MIN(D63,INDEX(products!$E$2:$E$5,F63),MAX(H63,0)),-6))</f>
        <v>53000000</v>
      </c>
      <c r="J63" s="0" t="n">
        <f aca="false">IF(I63&lt;5000000,0,I63)</f>
        <v>53000000</v>
      </c>
      <c r="K63" s="0" t="n">
        <f aca="false">IF(J63=0,0,ROUND(J63*INDEX(products!$G$2:$G$5,F63)*G63/12,0))</f>
        <v>8480000</v>
      </c>
    </row>
    <row r="64" customFormat="false" ht="15" hidden="false" customHeight="false" outlineLevel="0" collapsed="false">
      <c r="A64" s="0" t="n">
        <v>5063</v>
      </c>
      <c r="B64" s="0" t="n">
        <v>15500000</v>
      </c>
      <c r="C64" s="0" t="n">
        <v>3200000</v>
      </c>
      <c r="D64" s="0" t="n">
        <v>92000000</v>
      </c>
      <c r="E64" s="0" t="n">
        <v>48</v>
      </c>
      <c r="F64" s="0" t="n">
        <v>1</v>
      </c>
      <c r="G64" s="0" t="n">
        <f aca="false">IF(F64=0,0,MIN(E64,INDEX(products!$F$2:$F$5,F64)))</f>
        <v>48</v>
      </c>
      <c r="H64" s="0" t="n">
        <f aca="false">IF(F64=0,0,(INDEX(products!$H$2:$H$5,F64)*B64-C64)*G64/(1+INDEX(products!$G$2:$G$5,F64)*G64/12))</f>
        <v>156000000</v>
      </c>
      <c r="I64" s="0" t="n">
        <f aca="false">IF(F64=0,0,ROUNDDOWN(MIN(D64,INDEX(products!$E$2:$E$5,F64),MAX(H64,0)),-6))</f>
        <v>92000000</v>
      </c>
      <c r="J64" s="0" t="n">
        <f aca="false">IF(I64&lt;5000000,0,I64)</f>
        <v>92000000</v>
      </c>
      <c r="K64" s="0" t="n">
        <f aca="false">IF(J64=0,0,ROUND(J64*INDEX(products!$G$2:$G$5,F64)*G64/12,0))</f>
        <v>36800000</v>
      </c>
    </row>
    <row r="65" customFormat="false" ht="15" hidden="false" customHeight="false" outlineLevel="0" collapsed="false">
      <c r="A65" s="0" t="n">
        <v>5064</v>
      </c>
      <c r="B65" s="0" t="n">
        <v>7000000</v>
      </c>
      <c r="C65" s="0" t="n">
        <v>2000000</v>
      </c>
      <c r="D65" s="0" t="n">
        <v>49000000</v>
      </c>
      <c r="E65" s="0" t="n">
        <v>24</v>
      </c>
      <c r="F65" s="0" t="n">
        <v>3</v>
      </c>
      <c r="G65" s="0" t="n">
        <f aca="false">IF(F65=0,0,MIN(E65,INDEX(products!$F$2:$F$5,F65)))</f>
        <v>24</v>
      </c>
      <c r="H65" s="0" t="n">
        <f aca="false">IF(F65=0,0,(INDEX(products!$H$2:$H$5,F65)*B65-C65)*G65/(1+INDEX(products!$G$2:$G$5,F65)*G65/12))</f>
        <v>12972972.972973</v>
      </c>
      <c r="I65" s="0" t="n">
        <f aca="false">IF(F65=0,0,ROUNDDOWN(MIN(D65,INDEX(products!$E$2:$E$5,F65),MAX(H65,0)),-6))</f>
        <v>12000000</v>
      </c>
      <c r="J65" s="0" t="n">
        <f aca="false">IF(I65&lt;5000000,0,I65)</f>
        <v>12000000</v>
      </c>
      <c r="K65" s="0" t="n">
        <f aca="false">IF(J65=0,0,ROUND(J65*INDEX(products!$G$2:$G$5,F65)*G65/12,0))</f>
        <v>5760000</v>
      </c>
    </row>
    <row r="66" customFormat="false" ht="15" hidden="false" customHeight="false" outlineLevel="0" collapsed="false">
      <c r="A66" s="0" t="n">
        <v>5065</v>
      </c>
      <c r="B66" s="0" t="n">
        <v>6500000</v>
      </c>
      <c r="C66" s="0" t="n">
        <v>0</v>
      </c>
      <c r="D66" s="0" t="n">
        <v>41000000</v>
      </c>
      <c r="E66" s="0" t="n">
        <v>24</v>
      </c>
      <c r="F66" s="0" t="n">
        <v>4</v>
      </c>
      <c r="G66" s="0" t="n">
        <f aca="false">IF(F66=0,0,MIN(E66,INDEX(products!$F$2:$F$5,F66)))</f>
        <v>12</v>
      </c>
      <c r="H66" s="0" t="n">
        <f aca="false">IF(F66=0,0,(INDEX(products!$H$2:$H$5,F66)*B66-C66)*G66/(1+INDEX(products!$G$2:$G$5,F66)*G66/12))</f>
        <v>21000000</v>
      </c>
      <c r="I66" s="0" t="n">
        <f aca="false">IF(F66=0,0,ROUNDDOWN(MIN(D66,INDEX(products!$E$2:$E$5,F66),MAX(H66,0)),-6))</f>
        <v>15000000</v>
      </c>
      <c r="J66" s="0" t="n">
        <f aca="false">IF(I66&lt;5000000,0,I66)</f>
        <v>15000000</v>
      </c>
      <c r="K66" s="0" t="n">
        <f aca="false">IF(J66=0,0,ROUND(J66*INDEX(products!$G$2:$G$5,F66)*G66/12,0))</f>
        <v>4500000</v>
      </c>
    </row>
    <row r="67" customFormat="false" ht="15" hidden="false" customHeight="false" outlineLevel="0" collapsed="false">
      <c r="A67" s="0" t="n">
        <v>5066</v>
      </c>
      <c r="B67" s="0" t="n">
        <v>8000000</v>
      </c>
      <c r="C67" s="0" t="n">
        <v>2600000</v>
      </c>
      <c r="D67" s="0" t="n">
        <v>69000000</v>
      </c>
      <c r="E67" s="0" t="n">
        <v>24</v>
      </c>
      <c r="F67" s="0" t="n">
        <v>3</v>
      </c>
      <c r="G67" s="0" t="n">
        <f aca="false">IF(F67=0,0,MIN(E67,INDEX(products!$F$2:$F$5,F67)))</f>
        <v>24</v>
      </c>
      <c r="H67" s="0" t="n">
        <f aca="false">IF(F67=0,0,(INDEX(products!$H$2:$H$5,F67)*B67-C67)*G67/(1+INDEX(products!$G$2:$G$5,F67)*G67/12))</f>
        <v>9729729.72972973</v>
      </c>
      <c r="I67" s="0" t="n">
        <f aca="false">IF(F67=0,0,ROUNDDOWN(MIN(D67,INDEX(products!$E$2:$E$5,F67),MAX(H67,0)),-6))</f>
        <v>9000000</v>
      </c>
      <c r="J67" s="0" t="n">
        <f aca="false">IF(I67&lt;5000000,0,I67)</f>
        <v>9000000</v>
      </c>
      <c r="K67" s="0" t="n">
        <f aca="false">IF(J67=0,0,ROUND(J67*INDEX(products!$G$2:$G$5,F67)*G67/12,0))</f>
        <v>4320000</v>
      </c>
    </row>
    <row r="68" customFormat="false" ht="15" hidden="false" customHeight="false" outlineLevel="0" collapsed="false">
      <c r="A68" s="0" t="n">
        <v>5067</v>
      </c>
      <c r="B68" s="0" t="n">
        <v>19500000</v>
      </c>
      <c r="C68" s="0" t="n">
        <v>4600000</v>
      </c>
      <c r="D68" s="0" t="n">
        <v>194000000</v>
      </c>
      <c r="E68" s="0" t="n">
        <v>48</v>
      </c>
      <c r="F68" s="0" t="n">
        <v>1</v>
      </c>
      <c r="G68" s="0" t="n">
        <f aca="false">IF(F68=0,0,MIN(E68,INDEX(products!$F$2:$F$5,F68)))</f>
        <v>48</v>
      </c>
      <c r="H68" s="0" t="n">
        <f aca="false">IF(F68=0,0,(INDEX(products!$H$2:$H$5,F68)*B68-C68)*G68/(1+INDEX(products!$G$2:$G$5,F68)*G68/12))</f>
        <v>176571428.571429</v>
      </c>
      <c r="I68" s="0" t="n">
        <f aca="false">IF(F68=0,0,ROUNDDOWN(MIN(D68,INDEX(products!$E$2:$E$5,F68),MAX(H68,0)),-6))</f>
        <v>176000000</v>
      </c>
      <c r="J68" s="0" t="n">
        <f aca="false">IF(I68&lt;5000000,0,I68)</f>
        <v>176000000</v>
      </c>
      <c r="K68" s="0" t="n">
        <f aca="false">IF(J68=0,0,ROUND(J68*INDEX(products!$G$2:$G$5,F68)*G68/12,0))</f>
        <v>70400000</v>
      </c>
    </row>
    <row r="69" customFormat="false" ht="15" hidden="false" customHeight="false" outlineLevel="0" collapsed="false">
      <c r="A69" s="0" t="n">
        <v>5068</v>
      </c>
      <c r="B69" s="0" t="n">
        <v>9000000</v>
      </c>
      <c r="C69" s="0" t="n">
        <v>3300000</v>
      </c>
      <c r="D69" s="0" t="n">
        <v>75000000</v>
      </c>
      <c r="E69" s="0" t="n">
        <v>12</v>
      </c>
      <c r="F69" s="0" t="n">
        <v>3</v>
      </c>
      <c r="G69" s="0" t="n">
        <f aca="false">IF(F69=0,0,MIN(E69,INDEX(products!$F$2:$F$5,F69)))</f>
        <v>12</v>
      </c>
      <c r="H69" s="0" t="n">
        <f aca="false">IF(F69=0,0,(INDEX(products!$H$2:$H$5,F69)*B69-C69)*G69/(1+INDEX(products!$G$2:$G$5,F69)*G69/12))</f>
        <v>2903225.80645161</v>
      </c>
      <c r="I69" s="0" t="n">
        <f aca="false">IF(F69=0,0,ROUNDDOWN(MIN(D69,INDEX(products!$E$2:$E$5,F69),MAX(H69,0)),-6))</f>
        <v>2000000</v>
      </c>
      <c r="J69" s="0" t="n">
        <f aca="false">IF(I69&lt;5000000,0,I69)</f>
        <v>0</v>
      </c>
      <c r="K69" s="0" t="n">
        <f aca="false">IF(J69=0,0,ROUND(J69*INDEX(products!$G$2:$G$5,F69)*G69/12,0))</f>
        <v>0</v>
      </c>
    </row>
    <row r="70" customFormat="false" ht="15" hidden="false" customHeight="false" outlineLevel="0" collapsed="false">
      <c r="A70" s="0" t="n">
        <v>5069</v>
      </c>
      <c r="B70" s="0" t="n">
        <v>23500000</v>
      </c>
      <c r="C70" s="0" t="n">
        <v>0</v>
      </c>
      <c r="D70" s="0" t="n">
        <v>154000000</v>
      </c>
      <c r="E70" s="0" t="n">
        <v>24</v>
      </c>
      <c r="F70" s="0" t="n">
        <v>1</v>
      </c>
      <c r="G70" s="0" t="n">
        <f aca="false">IF(F70=0,0,MIN(E70,INDEX(products!$F$2:$F$5,F70)))</f>
        <v>24</v>
      </c>
      <c r="H70" s="0" t="n">
        <f aca="false">IF(F70=0,0,(INDEX(products!$H$2:$H$5,F70)*B70-C70)*G70/(1+INDEX(products!$G$2:$G$5,F70)*G70/12))</f>
        <v>235000000</v>
      </c>
      <c r="I70" s="0" t="n">
        <f aca="false">IF(F70=0,0,ROUNDDOWN(MIN(D70,INDEX(products!$E$2:$E$5,F70),MAX(H70,0)),-6))</f>
        <v>154000000</v>
      </c>
      <c r="J70" s="0" t="n">
        <f aca="false">IF(I70&lt;5000000,0,I70)</f>
        <v>154000000</v>
      </c>
      <c r="K70" s="0" t="n">
        <f aca="false">IF(J70=0,0,ROUND(J70*INDEX(products!$G$2:$G$5,F70)*G70/12,0))</f>
        <v>30800000</v>
      </c>
    </row>
    <row r="71" customFormat="false" ht="15" hidden="false" customHeight="false" outlineLevel="0" collapsed="false">
      <c r="A71" s="0" t="n">
        <v>5070</v>
      </c>
      <c r="B71" s="0" t="n">
        <v>20000000</v>
      </c>
      <c r="C71" s="0" t="n">
        <v>0</v>
      </c>
      <c r="D71" s="0" t="n">
        <v>85000000</v>
      </c>
      <c r="E71" s="0" t="n">
        <v>36</v>
      </c>
      <c r="F71" s="0" t="n">
        <v>0</v>
      </c>
      <c r="G71" s="0" t="n">
        <f aca="false">IF(F71=0,0,MIN(E71,INDEX(products!$F$2:$F$5,F71)))</f>
        <v>0</v>
      </c>
      <c r="H71" s="0" t="n">
        <f aca="false">IF(F71=0,0,(INDEX(products!$H$2:$H$5,F71)*B71-C71)*G71/(1+INDEX(products!$G$2:$G$5,F71)*G71/12))</f>
        <v>0</v>
      </c>
      <c r="I71" s="0" t="n">
        <f aca="false">IF(F71=0,0,ROUNDDOWN(MIN(D71,INDEX(products!$E$2:$E$5,F71),MAX(H71,0)),-6))</f>
        <v>0</v>
      </c>
      <c r="J71" s="0" t="n">
        <f aca="false">IF(I71&lt;5000000,0,I71)</f>
        <v>0</v>
      </c>
      <c r="K71" s="0" t="n">
        <f aca="false">IF(J71=0,0,ROUND(J71*INDEX(products!$G$2:$G$5,F71)*G71/12,0))</f>
        <v>0</v>
      </c>
    </row>
    <row r="72" customFormat="false" ht="15" hidden="false" customHeight="false" outlineLevel="0" collapsed="false">
      <c r="A72" s="0" t="n">
        <v>5071</v>
      </c>
      <c r="B72" s="0" t="n">
        <v>14000000</v>
      </c>
      <c r="C72" s="0" t="n">
        <v>5100000</v>
      </c>
      <c r="D72" s="0" t="n">
        <v>96000000</v>
      </c>
      <c r="E72" s="0" t="n">
        <v>18</v>
      </c>
      <c r="F72" s="0" t="n">
        <v>2</v>
      </c>
      <c r="G72" s="0" t="n">
        <f aca="false">IF(F72=0,0,MIN(E72,INDEX(products!$F$2:$F$5,F72)))</f>
        <v>18</v>
      </c>
      <c r="H72" s="0" t="n">
        <f aca="false">IF(F72=0,0,(INDEX(products!$H$2:$H$5,F72)*B72-C72)*G72/(1+INDEX(products!$G$2:$G$5,F72)*G72/12))</f>
        <v>17419354.8387097</v>
      </c>
      <c r="I72" s="0" t="n">
        <f aca="false">IF(F72=0,0,ROUNDDOWN(MIN(D72,INDEX(products!$E$2:$E$5,F72),MAX(H72,0)),-6))</f>
        <v>17000000</v>
      </c>
      <c r="J72" s="0" t="n">
        <f aca="false">IF(I72&lt;5000000,0,I72)</f>
        <v>17000000</v>
      </c>
      <c r="K72" s="0" t="n">
        <f aca="false">IF(J72=0,0,ROUND(J72*INDEX(products!$G$2:$G$5,F72)*G72/12,0))</f>
        <v>4080000</v>
      </c>
    </row>
    <row r="73" customFormat="false" ht="15" hidden="false" customHeight="false" outlineLevel="0" collapsed="false">
      <c r="A73" s="0" t="n">
        <v>5072</v>
      </c>
      <c r="B73" s="0" t="n">
        <v>18000000</v>
      </c>
      <c r="C73" s="0" t="n">
        <v>6300000</v>
      </c>
      <c r="D73" s="0" t="n">
        <v>73000000</v>
      </c>
      <c r="E73" s="0" t="n">
        <v>12</v>
      </c>
      <c r="F73" s="0" t="n">
        <v>2</v>
      </c>
      <c r="G73" s="0" t="n">
        <f aca="false">IF(F73=0,0,MIN(E73,INDEX(products!$F$2:$F$5,F73)))</f>
        <v>12</v>
      </c>
      <c r="H73" s="0" t="n">
        <f aca="false">IF(F73=0,0,(INDEX(products!$H$2:$H$5,F73)*B73-C73)*G73/(1+INDEX(products!$G$2:$G$5,F73)*G73/12))</f>
        <v>18620689.6551724</v>
      </c>
      <c r="I73" s="0" t="n">
        <f aca="false">IF(F73=0,0,ROUNDDOWN(MIN(D73,INDEX(products!$E$2:$E$5,F73),MAX(H73,0)),-6))</f>
        <v>18000000</v>
      </c>
      <c r="J73" s="0" t="n">
        <f aca="false">IF(I73&lt;5000000,0,I73)</f>
        <v>18000000</v>
      </c>
      <c r="K73" s="0" t="n">
        <f aca="false">IF(J73=0,0,ROUND(J73*INDEX(products!$G$2:$G$5,F73)*G73/12,0))</f>
        <v>2880000</v>
      </c>
    </row>
    <row r="74" customFormat="false" ht="15" hidden="false" customHeight="false" outlineLevel="0" collapsed="false">
      <c r="A74" s="0" t="n">
        <v>5073</v>
      </c>
      <c r="B74" s="0" t="n">
        <v>12000000</v>
      </c>
      <c r="C74" s="0" t="n">
        <v>2000000</v>
      </c>
      <c r="D74" s="0" t="n">
        <v>41000000</v>
      </c>
      <c r="E74" s="0" t="n">
        <v>18</v>
      </c>
      <c r="F74" s="0" t="n">
        <v>4</v>
      </c>
      <c r="G74" s="0" t="n">
        <f aca="false">IF(F74=0,0,MIN(E74,INDEX(products!$F$2:$F$5,F74)))</f>
        <v>12</v>
      </c>
      <c r="H74" s="0" t="n">
        <f aca="false">IF(F74=0,0,(INDEX(products!$H$2:$H$5,F74)*B74-C74)*G74/(1+INDEX(products!$G$2:$G$5,F74)*G74/12))</f>
        <v>20307692.3076923</v>
      </c>
      <c r="I74" s="0" t="n">
        <f aca="false">IF(F74=0,0,ROUNDDOWN(MIN(D74,INDEX(products!$E$2:$E$5,F74),MAX(H74,0)),-6))</f>
        <v>15000000</v>
      </c>
      <c r="J74" s="0" t="n">
        <f aca="false">IF(I74&lt;5000000,0,I74)</f>
        <v>15000000</v>
      </c>
      <c r="K74" s="0" t="n">
        <f aca="false">IF(J74=0,0,ROUND(J74*INDEX(products!$G$2:$G$5,F74)*G74/12,0))</f>
        <v>4500000</v>
      </c>
    </row>
    <row r="75" customFormat="false" ht="15" hidden="false" customHeight="false" outlineLevel="0" collapsed="false">
      <c r="A75" s="0" t="n">
        <v>5074</v>
      </c>
      <c r="B75" s="0" t="n">
        <v>17000000</v>
      </c>
      <c r="C75" s="0" t="n">
        <v>0</v>
      </c>
      <c r="D75" s="0" t="n">
        <v>112000000</v>
      </c>
      <c r="E75" s="0" t="n">
        <v>18</v>
      </c>
      <c r="F75" s="0" t="n">
        <v>1</v>
      </c>
      <c r="G75" s="0" t="n">
        <f aca="false">IF(F75=0,0,MIN(E75,INDEX(products!$F$2:$F$5,F75)))</f>
        <v>18</v>
      </c>
      <c r="H75" s="0" t="n">
        <f aca="false">IF(F75=0,0,(INDEX(products!$H$2:$H$5,F75)*B75-C75)*G75/(1+INDEX(products!$G$2:$G$5,F75)*G75/12))</f>
        <v>133043478.26087</v>
      </c>
      <c r="I75" s="0" t="n">
        <f aca="false">IF(F75=0,0,ROUNDDOWN(MIN(D75,INDEX(products!$E$2:$E$5,F75),MAX(H75,0)),-6))</f>
        <v>112000000</v>
      </c>
      <c r="J75" s="0" t="n">
        <f aca="false">IF(I75&lt;5000000,0,I75)</f>
        <v>112000000</v>
      </c>
      <c r="K75" s="0" t="n">
        <f aca="false">IF(J75=0,0,ROUND(J75*INDEX(products!$G$2:$G$5,F75)*G75/12,0))</f>
        <v>16800000</v>
      </c>
    </row>
    <row r="76" customFormat="false" ht="15" hidden="false" customHeight="false" outlineLevel="0" collapsed="false">
      <c r="A76" s="0" t="n">
        <v>5075</v>
      </c>
      <c r="B76" s="0" t="n">
        <v>15500000</v>
      </c>
      <c r="C76" s="0" t="n">
        <v>5400000</v>
      </c>
      <c r="D76" s="0" t="n">
        <v>103000000</v>
      </c>
      <c r="E76" s="0" t="n">
        <v>12</v>
      </c>
      <c r="F76" s="0" t="n">
        <v>1</v>
      </c>
      <c r="G76" s="0" t="n">
        <f aca="false">IF(F76=0,0,MIN(E76,INDEX(products!$F$2:$F$5,F76)))</f>
        <v>12</v>
      </c>
      <c r="H76" s="0" t="n">
        <f aca="false">IF(F76=0,0,(INDEX(products!$H$2:$H$5,F76)*B76-C76)*G76/(1+INDEX(products!$G$2:$G$5,F76)*G76/12))</f>
        <v>25636363.6363636</v>
      </c>
      <c r="I76" s="0" t="n">
        <f aca="false">IF(F76=0,0,ROUNDDOWN(MIN(D76,INDEX(products!$E$2:$E$5,F76),MAX(H76,0)),-6))</f>
        <v>25000000</v>
      </c>
      <c r="J76" s="0" t="n">
        <f aca="false">IF(I76&lt;5000000,0,I76)</f>
        <v>25000000</v>
      </c>
      <c r="K76" s="0" t="n">
        <f aca="false">IF(J76=0,0,ROUND(J76*INDEX(products!$G$2:$G$5,F76)*G76/12,0))</f>
        <v>2500000</v>
      </c>
    </row>
    <row r="77" customFormat="false" ht="15" hidden="false" customHeight="false" outlineLevel="0" collapsed="false">
      <c r="A77" s="0" t="n">
        <v>5076</v>
      </c>
      <c r="B77" s="0" t="n">
        <v>12500000</v>
      </c>
      <c r="C77" s="0" t="n">
        <v>1300000</v>
      </c>
      <c r="D77" s="0" t="n">
        <v>65000000</v>
      </c>
      <c r="E77" s="0" t="n">
        <v>24</v>
      </c>
      <c r="F77" s="0" t="n">
        <v>2</v>
      </c>
      <c r="G77" s="0" t="n">
        <f aca="false">IF(F77=0,0,MIN(E77,INDEX(products!$F$2:$F$5,F77)))</f>
        <v>24</v>
      </c>
      <c r="H77" s="0" t="n">
        <f aca="false">IF(F77=0,0,(INDEX(products!$H$2:$H$5,F77)*B77-C77)*G77/(1+INDEX(products!$G$2:$G$5,F77)*G77/12))</f>
        <v>78636363.6363636</v>
      </c>
      <c r="I77" s="0" t="n">
        <f aca="false">IF(F77=0,0,ROUNDDOWN(MIN(D77,INDEX(products!$E$2:$E$5,F77),MAX(H77,0)),-6))</f>
        <v>65000000</v>
      </c>
      <c r="J77" s="0" t="n">
        <f aca="false">IF(I77&lt;5000000,0,I77)</f>
        <v>65000000</v>
      </c>
      <c r="K77" s="0" t="n">
        <f aca="false">IF(J77=0,0,ROUND(J77*INDEX(products!$G$2:$G$5,F77)*G77/12,0))</f>
        <v>20800000</v>
      </c>
    </row>
    <row r="78" customFormat="false" ht="15" hidden="false" customHeight="false" outlineLevel="0" collapsed="false">
      <c r="A78" s="0" t="n">
        <v>5077</v>
      </c>
      <c r="B78" s="0" t="n">
        <v>5000000</v>
      </c>
      <c r="C78" s="0" t="n">
        <v>1200000</v>
      </c>
      <c r="D78" s="0" t="n">
        <v>45000000</v>
      </c>
      <c r="E78" s="0" t="n">
        <v>36</v>
      </c>
      <c r="F78" s="0" t="n">
        <v>4</v>
      </c>
      <c r="G78" s="0" t="n">
        <f aca="false">IF(F78=0,0,MIN(E78,INDEX(products!$F$2:$F$5,F78)))</f>
        <v>12</v>
      </c>
      <c r="H78" s="0" t="n">
        <f aca="false">IF(F78=0,0,(INDEX(products!$H$2:$H$5,F78)*B78-C78)*G78/(1+INDEX(products!$G$2:$G$5,F78)*G78/12))</f>
        <v>5076923.07692308</v>
      </c>
      <c r="I78" s="0" t="n">
        <f aca="false">IF(F78=0,0,ROUNDDOWN(MIN(D78,INDEX(products!$E$2:$E$5,F78),MAX(H78,0)),-6))</f>
        <v>5000000</v>
      </c>
      <c r="J78" s="0" t="n">
        <f aca="false">IF(I78&lt;5000000,0,I78)</f>
        <v>5000000</v>
      </c>
      <c r="K78" s="0" t="n">
        <f aca="false">IF(J78=0,0,ROUND(J78*INDEX(products!$G$2:$G$5,F78)*G78/12,0))</f>
        <v>1500000</v>
      </c>
    </row>
    <row r="79" customFormat="false" ht="15" hidden="false" customHeight="false" outlineLevel="0" collapsed="false">
      <c r="A79" s="0" t="n">
        <v>5078</v>
      </c>
      <c r="B79" s="0" t="n">
        <v>16500000</v>
      </c>
      <c r="C79" s="0" t="n">
        <v>1400000</v>
      </c>
      <c r="D79" s="0" t="n">
        <v>49000000</v>
      </c>
      <c r="E79" s="0" t="n">
        <v>36</v>
      </c>
      <c r="F79" s="0" t="n">
        <v>2</v>
      </c>
      <c r="G79" s="0" t="n">
        <f aca="false">IF(F79=0,0,MIN(E79,INDEX(products!$F$2:$F$5,F79)))</f>
        <v>36</v>
      </c>
      <c r="H79" s="0" t="n">
        <f aca="false">IF(F79=0,0,(INDEX(products!$H$2:$H$5,F79)*B79-C79)*G79/(1+INDEX(products!$G$2:$G$5,F79)*G79/12))</f>
        <v>146554054.054054</v>
      </c>
      <c r="I79" s="0" t="n">
        <f aca="false">IF(F79=0,0,ROUNDDOWN(MIN(D79,INDEX(products!$E$2:$E$5,F79),MAX(H79,0)),-6))</f>
        <v>49000000</v>
      </c>
      <c r="J79" s="0" t="n">
        <f aca="false">IF(I79&lt;5000000,0,I79)</f>
        <v>49000000</v>
      </c>
      <c r="K79" s="0" t="n">
        <f aca="false">IF(J79=0,0,ROUND(J79*INDEX(products!$G$2:$G$5,F79)*G79/12,0))</f>
        <v>23520000</v>
      </c>
    </row>
    <row r="80" customFormat="false" ht="15" hidden="false" customHeight="false" outlineLevel="0" collapsed="false">
      <c r="A80" s="0" t="n">
        <v>5079</v>
      </c>
      <c r="B80" s="0" t="n">
        <v>18500000</v>
      </c>
      <c r="C80" s="0" t="n">
        <v>2400000</v>
      </c>
      <c r="D80" s="0" t="n">
        <v>87000000</v>
      </c>
      <c r="E80" s="0" t="n">
        <v>18</v>
      </c>
      <c r="F80" s="0" t="n">
        <v>1</v>
      </c>
      <c r="G80" s="0" t="n">
        <f aca="false">IF(F80=0,0,MIN(E80,INDEX(products!$F$2:$F$5,F80)))</f>
        <v>18</v>
      </c>
      <c r="H80" s="0" t="n">
        <f aca="false">IF(F80=0,0,(INDEX(products!$H$2:$H$5,F80)*B80-C80)*G80/(1+INDEX(products!$G$2:$G$5,F80)*G80/12))</f>
        <v>107217391.304348</v>
      </c>
      <c r="I80" s="0" t="n">
        <f aca="false">IF(F80=0,0,ROUNDDOWN(MIN(D80,INDEX(products!$E$2:$E$5,F80),MAX(H80,0)),-6))</f>
        <v>87000000</v>
      </c>
      <c r="J80" s="0" t="n">
        <f aca="false">IF(I80&lt;5000000,0,I80)</f>
        <v>87000000</v>
      </c>
      <c r="K80" s="0" t="n">
        <f aca="false">IF(J80=0,0,ROUND(J80*INDEX(products!$G$2:$G$5,F80)*G80/12,0))</f>
        <v>13050000</v>
      </c>
    </row>
    <row r="81" customFormat="false" ht="15" hidden="false" customHeight="false" outlineLevel="0" collapsed="false">
      <c r="A81" s="0" t="n">
        <v>5080</v>
      </c>
      <c r="B81" s="0" t="n">
        <v>20000000</v>
      </c>
      <c r="C81" s="0" t="n">
        <v>2300000</v>
      </c>
      <c r="D81" s="0" t="n">
        <v>147000000</v>
      </c>
      <c r="E81" s="0" t="n">
        <v>48</v>
      </c>
      <c r="F81" s="0" t="n">
        <v>4</v>
      </c>
      <c r="G81" s="0" t="n">
        <f aca="false">IF(F81=0,0,MIN(E81,INDEX(products!$F$2:$F$5,F81)))</f>
        <v>12</v>
      </c>
      <c r="H81" s="0" t="n">
        <f aca="false">IF(F81=0,0,(INDEX(products!$H$2:$H$5,F81)*B81-C81)*G81/(1+INDEX(products!$G$2:$G$5,F81)*G81/12))</f>
        <v>43384615.3846154</v>
      </c>
      <c r="I81" s="0" t="n">
        <f aca="false">IF(F81=0,0,ROUNDDOWN(MIN(D81,INDEX(products!$E$2:$E$5,F81),MAX(H81,0)),-6))</f>
        <v>15000000</v>
      </c>
      <c r="J81" s="0" t="n">
        <f aca="false">IF(I81&lt;5000000,0,I81)</f>
        <v>15000000</v>
      </c>
      <c r="K81" s="0" t="n">
        <f aca="false">IF(J81=0,0,ROUND(J81*INDEX(products!$G$2:$G$5,F81)*G81/12,0))</f>
        <v>4500000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2026-10-29T07:21:20Z</dcterms:created>
  <dc:creator>openpyxl</dc:creator>
  <dc:description/>
  <dc:language>en-US</dc:language>
  <cp:lastModifiedBy/>
  <dcterms:modified xsi:type="dcterms:W3CDTF">2026-10-29T07:21:21Z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